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0" documentId="13_ncr:1_{E55114BE-D020-4373-ACE6-36615AEFC62D}" xr6:coauthVersionLast="47" xr6:coauthVersionMax="47" xr10:uidLastSave="{00000000-0000-0000-0000-000000000000}"/>
  <bookViews>
    <workbookView xWindow="-108" yWindow="-108" windowWidth="30936" windowHeight="16776"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11" l="1"/>
  <c r="E9" i="11"/>
  <c r="F9" i="11" s="1"/>
  <c r="E10" i="11" s="1"/>
  <c r="F10" i="11" s="1"/>
  <c r="E11" i="11" s="1"/>
  <c r="F11" i="11" s="1"/>
  <c r="E12" i="11" s="1"/>
  <c r="F12" i="11" s="1"/>
  <c r="E13" i="11" s="1"/>
  <c r="H7" i="11"/>
  <c r="F8" i="11" l="1"/>
  <c r="E15" i="11"/>
  <c r="F13" i="11"/>
  <c r="E17" i="11" s="1"/>
  <c r="E18" i="11" s="1"/>
  <c r="F18" i="11" s="1"/>
  <c r="E14" i="11"/>
  <c r="F14" i="11" s="1"/>
  <c r="I5" i="11"/>
  <c r="I4" i="11" s="1"/>
  <c r="E19" i="11" l="1"/>
  <c r="F15" i="11"/>
  <c r="E16" i="11" s="1"/>
  <c r="I6" i="11"/>
  <c r="E20" i="11" l="1"/>
  <c r="F19" i="11"/>
  <c r="F16" i="11"/>
  <c r="H12" i="11"/>
  <c r="H9" i="11"/>
  <c r="J5" i="11"/>
  <c r="K5" i="11" s="1"/>
  <c r="L5" i="11" s="1"/>
  <c r="M5" i="11" s="1"/>
  <c r="N5" i="11" s="1"/>
  <c r="O5" i="11" s="1"/>
  <c r="P5" i="11" s="1"/>
  <c r="P4" i="11" s="1"/>
  <c r="E21" i="11" l="1"/>
  <c r="F21" i="11" s="1"/>
  <c r="E22" i="11" s="1"/>
  <c r="F22" i="11" s="1"/>
  <c r="E23" i="11" s="1"/>
  <c r="F20" i="11"/>
  <c r="F17" i="11"/>
  <c r="H8" i="11"/>
  <c r="H13" i="11"/>
  <c r="H10" i="11"/>
  <c r="H11" i="11"/>
  <c r="Q5" i="11"/>
  <c r="R5" i="11" s="1"/>
  <c r="S5" i="11" s="1"/>
  <c r="T5" i="11" s="1"/>
  <c r="U5" i="11" s="1"/>
  <c r="V5" i="11" s="1"/>
  <c r="W5" i="11" s="1"/>
  <c r="W4" i="11" s="1"/>
  <c r="J6" i="11"/>
  <c r="E24" i="11" l="1"/>
  <c r="F23" i="11"/>
  <c r="H15" i="11"/>
  <c r="X5" i="11"/>
  <c r="Y5" i="11" s="1"/>
  <c r="Z5" i="11" s="1"/>
  <c r="AA5" i="11" s="1"/>
  <c r="AB5" i="11" s="1"/>
  <c r="AC5" i="11" s="1"/>
  <c r="K6" i="11"/>
  <c r="AD5" i="11" l="1"/>
  <c r="AD6" i="11" s="1"/>
  <c r="F24" i="11"/>
  <c r="E25" i="11" s="1"/>
  <c r="H18" i="11"/>
  <c r="H17" i="11"/>
  <c r="H16" i="11"/>
  <c r="L6" i="11"/>
  <c r="AE5" i="11" l="1"/>
  <c r="AF5" i="11" s="1"/>
  <c r="AG5" i="11" s="1"/>
  <c r="AH5" i="11" s="1"/>
  <c r="AI5" i="11" s="1"/>
  <c r="AJ5" i="11" s="1"/>
  <c r="AK5" i="11" s="1"/>
  <c r="AD4" i="11"/>
  <c r="F25" i="11"/>
  <c r="E26" i="11" s="1"/>
  <c r="F26" i="11" s="1"/>
  <c r="E27" i="11" s="1"/>
  <c r="F27" i="11" s="1"/>
  <c r="H27" i="11" s="1"/>
  <c r="H21" i="11"/>
  <c r="M6" i="11"/>
  <c r="AL5" i="11" l="1"/>
  <c r="AM5" i="11" s="1"/>
  <c r="AN5" i="11" s="1"/>
  <c r="AO5" i="11" s="1"/>
  <c r="AP5" i="11" s="1"/>
  <c r="AQ5" i="11" s="1"/>
  <c r="AR5" i="11" s="1"/>
  <c r="AK4" i="11"/>
  <c r="H14" i="11"/>
  <c r="N6" i="11"/>
  <c r="AS5" i="11" l="1"/>
  <c r="AT5" i="11" s="1"/>
  <c r="AR4" i="11"/>
  <c r="H23" i="11"/>
  <c r="O6" i="11"/>
  <c r="AS6" i="11" l="1"/>
  <c r="H24" i="11"/>
  <c r="AU5" i="11"/>
  <c r="AT6" i="11"/>
  <c r="H25" i="11" l="1"/>
  <c r="AV5" i="11"/>
  <c r="AU6" i="11"/>
  <c r="P6" i="11"/>
  <c r="Q6" i="11"/>
  <c r="H22" i="11" l="1"/>
  <c r="H26" i="11"/>
  <c r="AW5" i="11"/>
  <c r="AV6" i="11"/>
  <c r="R6" i="11"/>
  <c r="AX5" i="11" l="1"/>
  <c r="AY5" i="11" s="1"/>
  <c r="AY4" i="11" s="1"/>
  <c r="AW6" i="11"/>
  <c r="S6" i="11"/>
  <c r="AY6" i="11" l="1"/>
  <c r="AZ5"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<sst xmlns="http://schemas.openxmlformats.org/spreadsheetml/2006/main" count="69" uniqueCount="65">
  <si>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</si>
  <si>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</si>
  <si>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</si>
  <si>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</si>
  <si>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</si>
  <si>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</si>
  <si>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</si>
  <si>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</si>
  <si>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</si>
  <si>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</si>
  <si>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</si>
  <si>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</si>
  <si>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</si>
  <si>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</si>
  <si>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</si>
  <si>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</si>
  <si>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</si>
  <si>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</si>
  <si>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</si>
  <si>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</si>
  <si>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</si>
  <si>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</si>
  <si>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</si>
  <si>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</si>
  <si>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</si>
  <si>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</si>
  <si>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</si>
  <si>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</si>
  <si>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</si>
  <si>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</si>
  <si>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</si>
  <si>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</si>
  <si>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</si>
  <si>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</si>
  <si>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</si>
  <si>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Task Assignment</t>
    <phoneticPr fontId="14" type="noConversion"/>
  </si>
  <si>
    <t>Milestone 1</t>
    <phoneticPr fontId="14" type="noConversion"/>
  </si>
  <si>
    <t>Milestone 2</t>
    <phoneticPr fontId="14" type="noConversion"/>
  </si>
  <si>
    <t>Report Integration</t>
    <phoneticPr fontId="14" type="noConversion"/>
  </si>
  <si>
    <t>Proofreading &amp; Formatting</t>
    <phoneticPr fontId="14" type="noConversion"/>
  </si>
  <si>
    <t>Milestone 3</t>
    <phoneticPr fontId="14" type="noConversion"/>
  </si>
  <si>
    <t>Final Submission</t>
    <phoneticPr fontId="14" type="noConversion"/>
  </si>
  <si>
    <t>All members</t>
    <phoneticPr fontId="14" type="noConversion"/>
  </si>
  <si>
    <t>Du Zhixuan</t>
    <phoneticPr fontId="14" type="noConversion"/>
  </si>
  <si>
    <t>Pan Ziliang</t>
    <phoneticPr fontId="14" type="noConversion"/>
  </si>
  <si>
    <t>Deng Kailong</t>
    <phoneticPr fontId="14" type="noConversion"/>
  </si>
  <si>
    <t>Tao Ouwen</t>
    <phoneticPr fontId="14" type="noConversion"/>
  </si>
  <si>
    <t xml:space="preserve">Deng Kailong,Min Yiduo	</t>
    <phoneticPr fontId="14" type="noConversion"/>
  </si>
  <si>
    <t>Group Members: Deng Kailong (Leader), Min Yiduo, Pan Ziliang, Tao Ouwen, Du Zhixuan</t>
    <phoneticPr fontId="14" type="noConversion"/>
  </si>
  <si>
    <t>Phase 1 Review &amp; Setup</t>
    <phoneticPr fontId="14" type="noConversion"/>
  </si>
  <si>
    <t>Review Assignment Schema</t>
    <phoneticPr fontId="14" type="noConversion"/>
  </si>
  <si>
    <t>DBMS Environment Setup</t>
    <phoneticPr fontId="14" type="noConversion"/>
  </si>
  <si>
    <t>Task 1: Database Integrity</t>
    <phoneticPr fontId="14" type="noConversion"/>
  </si>
  <si>
    <t>Task 2A: Create Tables</t>
    <phoneticPr fontId="14" type="noConversion"/>
  </si>
  <si>
    <t>Task 2B: Insert Data (Population)</t>
    <phoneticPr fontId="14" type="noConversion"/>
  </si>
  <si>
    <t>Phase 3: Functional Development</t>
    <phoneticPr fontId="14" type="noConversion"/>
  </si>
  <si>
    <t>Task 2C: SQL Queries (Advanced)</t>
    <phoneticPr fontId="14" type="noConversion"/>
  </si>
  <si>
    <t xml:space="preserve">Min Yiduo	</t>
    <phoneticPr fontId="14" type="noConversion"/>
  </si>
  <si>
    <t>Task 3: Triggers Implementation</t>
    <phoneticPr fontId="14" type="noConversion"/>
  </si>
  <si>
    <t>Task 4: Access Control</t>
    <phoneticPr fontId="14" type="noConversion"/>
  </si>
  <si>
    <t>Phase 4 Report Compilation &amp; Review</t>
    <phoneticPr fontId="14" type="noConversion"/>
  </si>
  <si>
    <t>Milestone 4</t>
    <phoneticPr fontId="14" type="noConversion"/>
  </si>
  <si>
    <t>Phase 2: Structure Implementation</t>
    <phoneticPr fontId="14" type="noConversion"/>
  </si>
  <si>
    <r>
      <t xml:space="preserve">Milestone 1: Environment Ready (11/25/2025)
Confirmed the previous database schema is error-free and the MySQL environment is configured for all group members. </t>
    </r>
    <r>
      <rPr>
        <b/>
        <sz val="12"/>
        <color theme="1"/>
        <rFont val="Calibri"/>
        <family val="2"/>
      </rPr>
      <t xml:space="preserve">
Milestone 2: Database Populated (12/05/2025)
All tables created with correct integrity constraints (PK/FK) and successfully populated with 6-10 rows of sample data. </t>
    </r>
    <r>
      <rPr>
        <b/>
        <sz val="12"/>
        <color theme="1"/>
        <rFont val="Calibri"/>
        <family val="2"/>
      </rPr>
      <t xml:space="preserve">
Milestone 3: Functionality Verified (12/11/2025)
Advanced SQL queries, triggers, and access control mechanisms are implemented, tested, and screenshots are captured. </t>
    </r>
    <r>
      <rPr>
        <b/>
        <sz val="12"/>
        <color theme="1"/>
        <rFont val="Calibri"/>
        <family val="2"/>
      </rPr>
      <t xml:space="preserve">
Milestone 4: Final Submission (12/18/2025)
The final lab report is compiled, formatted according to guidelines, proofread, and submitted via Moodle. </t>
    </r>
    <phoneticPr fontId="14" type="noConversion"/>
  </si>
  <si>
    <t>SOF202 Database Lab Report</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</si>
</sst>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_(* #,##0.00_);_(* \(#,##0.00\);_(* &quot;-&quot;??_);_(@_)"/>
    <numFmt numFmtId="177" formatCode="m/d/yy;@"/>
    <numFmt numFmtId="178" formatCode="ddd\,\ m/d/yyyy"/>
    <numFmt numFmtId="179" formatCode="mmm\ d\,\ yyyy"/>
    <numFmt numFmtId="180" formatCode="d"/>
  </numFmts>
  <fonts count="24" x14ac:knownFonts="1">
    <font>
      <sz val="11"/>
      <color theme="1"/>
      <name val="宋体"/>
      <family val="2"/>
      <scheme val="minor"/>
    </font>
    <font>
      <sz val="12"/>
      <color theme="1"/>
      <name val="宋体"/>
      <family val="2"/>
      <charset val="134"/>
      <scheme val="minor"/>
    </font>
    <font>
      <sz val="10"/>
      <name val="宋体"/>
      <family val="2"/>
      <scheme val="minor"/>
    </font>
    <font>
      <u/>
      <sz val="11"/>
      <color indexed="12"/>
      <name val="Arial"/>
      <family val="2"/>
    </font>
    <font>
      <sz val="11"/>
      <color theme="1"/>
      <name val="宋体"/>
      <family val="2"/>
      <scheme val="minor"/>
    </font>
    <font>
      <sz val="14"/>
      <color theme="1"/>
      <name val="宋体"/>
      <family val="2"/>
      <scheme val="minor"/>
    </font>
    <font>
      <b/>
      <sz val="22"/>
      <color theme="1" tint="0.34998626667073579"/>
      <name val="宋体"/>
      <family val="2"/>
      <scheme val="major"/>
    </font>
    <font>
      <b/>
      <sz val="12"/>
      <color theme="1" tint="0.34998626667073579"/>
      <name val="宋体"/>
      <family val="2"/>
      <scheme val="minor"/>
    </font>
    <font>
      <b/>
      <sz val="10"/>
      <name val="宋体"/>
      <family val="2"/>
      <scheme val="minor"/>
    </font>
    <font>
      <sz val="11"/>
      <color theme="1" tint="0.499984740745262"/>
      <name val="宋体"/>
      <family val="2"/>
      <scheme val="minor"/>
    </font>
    <font>
      <sz val="20"/>
      <name val="宋体"/>
      <family val="2"/>
      <scheme val="major"/>
    </font>
    <font>
      <sz val="11"/>
      <color rgb="FF1D2129"/>
      <name val="宋体"/>
      <family val="2"/>
      <scheme val="minor"/>
    </font>
    <font>
      <b/>
      <sz val="16"/>
      <color theme="4" tint="-0.249977111117893"/>
      <name val="宋体"/>
      <family val="2"/>
      <scheme val="major"/>
    </font>
    <font>
      <sz val="11"/>
      <color theme="0"/>
      <name val="宋体"/>
      <family val="2"/>
      <scheme val="minor"/>
    </font>
    <font>
      <sz val="9"/>
      <name val="宋体"/>
      <family val="3"/>
      <charset val="134"/>
      <scheme val="minor"/>
    </font>
    <font>
      <b/>
      <sz val="10"/>
      <color theme="0"/>
      <name val="Calibri"/>
      <family val="2"/>
    </font>
    <font>
      <b/>
      <sz val="10"/>
      <color theme="4" tint="-0.249977111117893"/>
      <name val="Calibri"/>
      <family val="2"/>
    </font>
    <font>
      <b/>
      <sz val="10"/>
      <name val="Calibri"/>
      <family val="2"/>
    </font>
    <font>
      <b/>
      <sz val="10"/>
      <color theme="1"/>
      <name val="Calibri"/>
      <family val="2"/>
    </font>
    <font>
      <b/>
      <sz val="10"/>
      <color theme="1" tint="0.499984740745262"/>
      <name val="Calibri"/>
      <family val="2"/>
    </font>
    <font>
      <b/>
      <sz val="10"/>
      <color rgb="FF000000"/>
      <name val="Calibri"/>
      <family val="2"/>
    </font>
    <font>
      <b/>
      <sz val="10"/>
      <color theme="1"/>
      <name val="Arial"/>
      <family val="2"/>
    </font>
    <font>
      <b/>
      <sz val="18"/>
      <color theme="1" tint="0.34998626667073579"/>
      <name val="Calibri"/>
      <family val="2"/>
    </font>
    <font>
      <b/>
      <sz val="12"/>
      <color theme="1"/>
      <name val="Calibri"/>
      <family val="2"/>
    </font>
  </fonts>
  <fills count="1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5" tint="0.59999389629810485"/>
        <bgColor indexed="65"/>
      </patternFill>
    </fill>
    <fill>
      <patternFill patternType="solid">
        <fgColor rgb="FFC00000"/>
        <bgColor indexed="64"/>
      </patternFill>
    </fill>
    <fill>
      <patternFill patternType="solid">
        <fgColor rgb="FFA6A6A6"/>
        <bgColor rgb="FF000000"/>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6" tint="0.39997558519241921"/>
        <bgColor indexed="64"/>
      </patternFill>
    </fill>
  </fills>
  <borders count="16">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medium">
        <color rgb="FFD9D9D9"/>
      </top>
      <bottom style="medium">
        <color rgb="FFD9D9D9"/>
      </bottom>
      <diagonal/>
    </border>
    <border>
      <left style="thin">
        <color theme="0" tint="-0.14993743705557422"/>
      </left>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s>
  <cellStyleXfs count="14">
    <xf numFmtId="0" fontId="0" fillId="0" borderId="0"/>
    <xf numFmtId="0" fontId="3"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76" fontId="4" fillId="0" borderId="3"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78" fontId="4" fillId="0" borderId="3">
      <alignment horizontal="center" vertical="center"/>
    </xf>
    <xf numFmtId="177" fontId="4" fillId="0" borderId="2" applyFill="0">
      <alignment horizontal="center" vertical="center"/>
    </xf>
    <xf numFmtId="0" fontId="4" fillId="0" borderId="2" applyFill="0">
      <alignment horizontal="center" vertical="center"/>
    </xf>
    <xf numFmtId="0" fontId="4" fillId="0" borderId="2" applyFill="0">
      <alignment horizontal="left" vertical="center" indent="2"/>
    </xf>
    <xf numFmtId="0" fontId="1" fillId="10" borderId="0" applyNumberFormat="0" applyBorder="0" applyAlignment="0" applyProtection="0">
      <alignment vertical="center"/>
    </xf>
  </cellStyleXfs>
  <cellXfs count="92">
    <xf numFmtId="0" fontId="0" fillId="0" borderId="0" xfId="0"/>
    <xf numFmtId="0" fontId="2" fillId="0" borderId="0" xfId="0" applyFont="1"/>
    <xf numFmtId="0" fontId="2"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2" fillId="0" borderId="0" xfId="0" applyFont="1" applyAlignment="1">
      <alignment vertical="center"/>
    </xf>
    <xf numFmtId="0" fontId="11" fillId="0" borderId="0" xfId="0" applyFont="1" applyAlignment="1">
      <alignment horizontal="left" vertical="top" wrapText="1" indent="1"/>
    </xf>
    <xf numFmtId="0" fontId="2" fillId="0" borderId="0" xfId="0" applyFont="1" applyAlignment="1">
      <alignment horizontal="left" vertical="top"/>
    </xf>
    <xf numFmtId="0" fontId="9"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5" fillId="0" borderId="0" xfId="3" applyFont="1" applyAlignment="1">
      <alignment wrapText="1"/>
    </xf>
    <xf numFmtId="0" fontId="16" fillId="0" borderId="0" xfId="0" applyFont="1" applyAlignment="1">
      <alignment horizontal="left"/>
    </xf>
    <xf numFmtId="0" fontId="17" fillId="0" borderId="0" xfId="0" applyFont="1"/>
    <xf numFmtId="0" fontId="17" fillId="0" borderId="0" xfId="0" applyFont="1" applyAlignment="1">
      <alignment horizontal="center"/>
    </xf>
    <xf numFmtId="0" fontId="17" fillId="0" borderId="0" xfId="0" applyFont="1" applyAlignment="1">
      <alignment horizontal="center" vertical="center"/>
    </xf>
    <xf numFmtId="0" fontId="18" fillId="0" borderId="0" xfId="0" applyFont="1"/>
    <xf numFmtId="0" fontId="19" fillId="0" borderId="0" xfId="0" applyFont="1"/>
    <xf numFmtId="0" fontId="15" fillId="0" borderId="0" xfId="3" applyFont="1"/>
    <xf numFmtId="0" fontId="18" fillId="0" borderId="0" xfId="0" applyFont="1" applyAlignment="1">
      <alignment horizontal="center"/>
    </xf>
    <xf numFmtId="0" fontId="19" fillId="0" borderId="0" xfId="1" applyFont="1" applyProtection="1">
      <alignment vertical="top"/>
    </xf>
    <xf numFmtId="0" fontId="18" fillId="0" borderId="0" xfId="7" applyFont="1">
      <alignment vertical="top"/>
    </xf>
    <xf numFmtId="0" fontId="18" fillId="0" borderId="3" xfId="0" applyFont="1" applyBorder="1" applyAlignment="1">
      <alignment horizontal="center" vertical="center"/>
    </xf>
    <xf numFmtId="0" fontId="15" fillId="9" borderId="1" xfId="0" applyFont="1" applyFill="1" applyBorder="1" applyAlignment="1">
      <alignment horizontal="left" vertical="center" indent="1"/>
    </xf>
    <xf numFmtId="0" fontId="15" fillId="9" borderId="1" xfId="0" applyFont="1" applyFill="1" applyBorder="1" applyAlignment="1">
      <alignment horizontal="center" vertical="center" wrapText="1"/>
    </xf>
    <xf numFmtId="0" fontId="15" fillId="8" borderId="8" xfId="0" applyFont="1" applyFill="1" applyBorder="1" applyAlignment="1">
      <alignment horizontal="center" vertical="center" shrinkToFit="1"/>
    </xf>
    <xf numFmtId="0" fontId="18" fillId="0" borderId="0" xfId="0" applyFont="1" applyAlignment="1">
      <alignment wrapText="1"/>
    </xf>
    <xf numFmtId="0" fontId="18" fillId="0" borderId="9" xfId="0" applyFont="1" applyBorder="1" applyAlignment="1">
      <alignment vertical="center"/>
    </xf>
    <xf numFmtId="0" fontId="18" fillId="5" borderId="2" xfId="0" applyFont="1" applyFill="1" applyBorder="1" applyAlignment="1">
      <alignment horizontal="left" vertical="center" indent="1"/>
    </xf>
    <xf numFmtId="0" fontId="18" fillId="5" borderId="2" xfId="11" applyFont="1" applyFill="1">
      <alignment horizontal="center" vertical="center"/>
    </xf>
    <xf numFmtId="9" fontId="17" fillId="5" borderId="2" xfId="2" applyFont="1" applyFill="1" applyBorder="1" applyAlignment="1">
      <alignment horizontal="center" vertical="center"/>
    </xf>
    <xf numFmtId="177" fontId="18" fillId="5" borderId="2" xfId="0" applyNumberFormat="1" applyFont="1" applyFill="1" applyBorder="1" applyAlignment="1">
      <alignment horizontal="center" vertical="center"/>
    </xf>
    <xf numFmtId="177" fontId="17" fillId="5" borderId="2" xfId="0" applyNumberFormat="1" applyFont="1" applyFill="1" applyBorder="1" applyAlignment="1">
      <alignment horizontal="center" vertical="center"/>
    </xf>
    <xf numFmtId="0" fontId="17" fillId="0" borderId="2" xfId="0" applyFont="1" applyBorder="1" applyAlignment="1">
      <alignment horizontal="center" vertical="center"/>
    </xf>
    <xf numFmtId="0" fontId="18" fillId="0" borderId="0" xfId="0" applyFont="1" applyAlignment="1">
      <alignment vertical="center"/>
    </xf>
    <xf numFmtId="0" fontId="18" fillId="2" borderId="2" xfId="12" applyFont="1" applyFill="1">
      <alignment horizontal="left" vertical="center" indent="2"/>
    </xf>
    <xf numFmtId="0" fontId="18" fillId="2" borderId="2" xfId="11" applyFont="1" applyFill="1">
      <alignment horizontal="center" vertical="center"/>
    </xf>
    <xf numFmtId="9" fontId="17" fillId="2" borderId="2" xfId="2" applyFont="1" applyFill="1" applyBorder="1" applyAlignment="1">
      <alignment horizontal="center" vertical="center"/>
    </xf>
    <xf numFmtId="177" fontId="18" fillId="2" borderId="2" xfId="10" applyFont="1" applyFill="1">
      <alignment horizontal="center" vertical="center"/>
    </xf>
    <xf numFmtId="0" fontId="18" fillId="0" borderId="9" xfId="0" applyFont="1" applyBorder="1" applyAlignment="1">
      <alignment horizontal="right" vertical="center"/>
    </xf>
    <xf numFmtId="0" fontId="18" fillId="6" borderId="2" xfId="11" applyFont="1" applyFill="1">
      <alignment horizontal="center" vertical="center"/>
    </xf>
    <xf numFmtId="9" fontId="17" fillId="6" borderId="2" xfId="2" applyFont="1" applyFill="1" applyBorder="1" applyAlignment="1">
      <alignment horizontal="center" vertical="center"/>
    </xf>
    <xf numFmtId="0" fontId="18" fillId="3" borderId="2" xfId="12" applyFont="1" applyFill="1">
      <alignment horizontal="left" vertical="center" indent="2"/>
    </xf>
    <xf numFmtId="0" fontId="18" fillId="3" borderId="2" xfId="11" applyFont="1" applyFill="1">
      <alignment horizontal="center" vertical="center"/>
    </xf>
    <xf numFmtId="9" fontId="17" fillId="3" borderId="2" xfId="2" applyFont="1" applyFill="1" applyBorder="1" applyAlignment="1">
      <alignment horizontal="center" vertical="center"/>
    </xf>
    <xf numFmtId="177" fontId="18" fillId="3" borderId="2" xfId="10" applyFont="1" applyFill="1">
      <alignment horizontal="center" vertical="center"/>
    </xf>
    <xf numFmtId="0" fontId="18" fillId="4" borderId="2" xfId="0" applyFont="1" applyFill="1" applyBorder="1" applyAlignment="1">
      <alignment horizontal="left" vertical="center" indent="1"/>
    </xf>
    <xf numFmtId="0" fontId="18" fillId="4" borderId="2" xfId="11" applyFont="1" applyFill="1">
      <alignment horizontal="center" vertical="center"/>
    </xf>
    <xf numFmtId="9" fontId="17" fillId="4" borderId="2" xfId="2" applyFont="1" applyFill="1" applyBorder="1" applyAlignment="1">
      <alignment horizontal="center" vertical="center"/>
    </xf>
    <xf numFmtId="0" fontId="18" fillId="7" borderId="2" xfId="12" applyFont="1" applyFill="1">
      <alignment horizontal="left" vertical="center" indent="2"/>
    </xf>
    <xf numFmtId="0" fontId="18" fillId="7" borderId="2" xfId="11" applyFont="1" applyFill="1">
      <alignment horizontal="center" vertical="center"/>
    </xf>
    <xf numFmtId="9" fontId="17" fillId="7" borderId="2" xfId="2" applyFont="1" applyFill="1" applyBorder="1" applyAlignment="1">
      <alignment horizontal="center" vertical="center"/>
    </xf>
    <xf numFmtId="177" fontId="18" fillId="7" borderId="2" xfId="10" applyFont="1" applyFill="1">
      <alignment horizontal="center" vertical="center"/>
    </xf>
    <xf numFmtId="0" fontId="18" fillId="11" borderId="9" xfId="0" applyFont="1" applyFill="1" applyBorder="1" applyAlignment="1">
      <alignment vertical="center"/>
    </xf>
    <xf numFmtId="0" fontId="20" fillId="12" borderId="13" xfId="0" applyFont="1" applyFill="1" applyBorder="1" applyAlignment="1">
      <alignment vertical="center"/>
    </xf>
    <xf numFmtId="0" fontId="18" fillId="13" borderId="9" xfId="0" applyFont="1" applyFill="1" applyBorder="1" applyAlignment="1">
      <alignment vertical="center"/>
    </xf>
    <xf numFmtId="180" fontId="17" fillId="14" borderId="6" xfId="0" applyNumberFormat="1" applyFont="1" applyFill="1" applyBorder="1" applyAlignment="1">
      <alignment horizontal="center" vertical="center"/>
    </xf>
    <xf numFmtId="180" fontId="17" fillId="14" borderId="0" xfId="0" applyNumberFormat="1" applyFont="1" applyFill="1" applyAlignment="1">
      <alignment horizontal="center" vertical="center"/>
    </xf>
    <xf numFmtId="180" fontId="17" fillId="14" borderId="7" xfId="0" applyNumberFormat="1" applyFont="1" applyFill="1" applyBorder="1" applyAlignment="1">
      <alignment horizontal="center" vertical="center"/>
    </xf>
    <xf numFmtId="0" fontId="1" fillId="10" borderId="9" xfId="13" applyBorder="1" applyAlignment="1">
      <alignment vertical="center"/>
    </xf>
    <xf numFmtId="177" fontId="18" fillId="6" borderId="2" xfId="10" applyFont="1" applyFill="1">
      <alignment horizontal="center" vertical="center"/>
    </xf>
    <xf numFmtId="177" fontId="18" fillId="3" borderId="2" xfId="0" applyNumberFormat="1" applyFont="1" applyFill="1" applyBorder="1" applyAlignment="1">
      <alignment horizontal="center" vertical="center"/>
    </xf>
    <xf numFmtId="177" fontId="17" fillId="3" borderId="2" xfId="0" applyNumberFormat="1" applyFont="1" applyFill="1" applyBorder="1" applyAlignment="1">
      <alignment horizontal="center" vertical="center"/>
    </xf>
    <xf numFmtId="0" fontId="18" fillId="15" borderId="2" xfId="11" applyFont="1" applyFill="1">
      <alignment horizontal="center" vertical="center"/>
    </xf>
    <xf numFmtId="9" fontId="17" fillId="15" borderId="2" xfId="2" applyFont="1" applyFill="1" applyBorder="1" applyAlignment="1">
      <alignment horizontal="center" vertical="center"/>
    </xf>
    <xf numFmtId="177" fontId="18" fillId="15" borderId="2" xfId="10" applyFont="1" applyFill="1">
      <alignment horizontal="center" vertical="center"/>
    </xf>
    <xf numFmtId="0" fontId="18" fillId="16" borderId="2" xfId="12" applyFont="1" applyFill="1">
      <alignment horizontal="left" vertical="center" indent="2"/>
    </xf>
    <xf numFmtId="0" fontId="18" fillId="16" borderId="2" xfId="11" applyFont="1" applyFill="1">
      <alignment horizontal="center" vertical="center"/>
    </xf>
    <xf numFmtId="9" fontId="17" fillId="16" borderId="2" xfId="2" applyFont="1" applyFill="1" applyBorder="1" applyAlignment="1">
      <alignment horizontal="center" vertical="center"/>
    </xf>
    <xf numFmtId="177" fontId="18" fillId="16" borderId="2" xfId="10" applyFont="1" applyFill="1">
      <alignment horizontal="center" vertical="center"/>
    </xf>
    <xf numFmtId="177" fontId="18" fillId="16" borderId="2" xfId="0" applyNumberFormat="1" applyFont="1" applyFill="1" applyBorder="1" applyAlignment="1">
      <alignment horizontal="center" vertical="center"/>
    </xf>
    <xf numFmtId="177" fontId="17" fillId="16" borderId="2" xfId="0" applyNumberFormat="1" applyFont="1" applyFill="1" applyBorder="1" applyAlignment="1">
      <alignment horizontal="center" vertical="center"/>
    </xf>
    <xf numFmtId="9" fontId="17" fillId="18" borderId="2" xfId="2" applyFont="1" applyFill="1" applyBorder="1" applyAlignment="1">
      <alignment horizontal="center" vertical="center"/>
    </xf>
    <xf numFmtId="177" fontId="18" fillId="4" borderId="2" xfId="10" applyFont="1" applyFill="1">
      <alignment horizontal="center" vertical="center"/>
    </xf>
    <xf numFmtId="9" fontId="21" fillId="17" borderId="0" xfId="0" applyNumberFormat="1" applyFont="1" applyFill="1" applyAlignment="1">
      <alignment horizontal="center" vertical="center"/>
    </xf>
    <xf numFmtId="0" fontId="18" fillId="6" borderId="2" xfId="0" applyFont="1" applyFill="1" applyBorder="1" applyAlignment="1">
      <alignment horizontal="left" vertical="center" indent="1"/>
    </xf>
    <xf numFmtId="0" fontId="18" fillId="15" borderId="2" xfId="0" applyFont="1" applyFill="1" applyBorder="1" applyAlignment="1">
      <alignment horizontal="left" vertical="center" indent="1"/>
    </xf>
    <xf numFmtId="179" fontId="18" fillId="14" borderId="4" xfId="0" applyNumberFormat="1" applyFont="1" applyFill="1" applyBorder="1" applyAlignment="1">
      <alignment horizontal="left" vertical="center" wrapText="1" indent="1"/>
    </xf>
    <xf numFmtId="179" fontId="18" fillId="14" borderId="1" xfId="0" applyNumberFormat="1" applyFont="1" applyFill="1" applyBorder="1" applyAlignment="1">
      <alignment horizontal="left" vertical="center" wrapText="1" indent="1"/>
    </xf>
    <xf numFmtId="179" fontId="18" fillId="14" borderId="5" xfId="0" applyNumberFormat="1" applyFont="1" applyFill="1" applyBorder="1" applyAlignment="1">
      <alignment horizontal="left" vertical="center" wrapText="1" indent="1"/>
    </xf>
    <xf numFmtId="178" fontId="18" fillId="0" borderId="11" xfId="9" applyFont="1" applyBorder="1">
      <alignment horizontal="center" vertical="center"/>
    </xf>
    <xf numFmtId="178" fontId="18" fillId="0" borderId="12" xfId="9" applyFont="1" applyBorder="1">
      <alignment horizontal="center" vertical="center"/>
    </xf>
    <xf numFmtId="0" fontId="18" fillId="0" borderId="0" xfId="8" applyFont="1" applyAlignment="1">
      <alignment horizontal="right" vertical="center" indent="1"/>
    </xf>
    <xf numFmtId="0" fontId="18" fillId="0" borderId="7" xfId="8" applyFont="1" applyBorder="1" applyAlignment="1">
      <alignment horizontal="right" vertical="center" indent="1"/>
    </xf>
    <xf numFmtId="0" fontId="18" fillId="0" borderId="10" xfId="0" applyFont="1" applyBorder="1"/>
    <xf numFmtId="0" fontId="22" fillId="0" borderId="0" xfId="5" applyFont="1" applyAlignment="1">
      <alignment horizontal="left"/>
    </xf>
    <xf numFmtId="0" fontId="23" fillId="0" borderId="0" xfId="6" applyFont="1" applyAlignment="1">
      <alignment vertical="center"/>
    </xf>
    <xf numFmtId="0" fontId="18" fillId="0" borderId="14" xfId="0" applyFont="1" applyBorder="1" applyAlignment="1">
      <alignment vertical="center"/>
    </xf>
    <xf numFmtId="0" fontId="18" fillId="0" borderId="15" xfId="0" applyFont="1" applyBorder="1" applyAlignment="1">
      <alignment vertical="center"/>
    </xf>
    <xf numFmtId="0" fontId="23" fillId="0" borderId="0" xfId="0" applyFont="1" applyBorder="1" applyAlignment="1">
      <alignment wrapText="1"/>
    </xf>
    <xf numFmtId="0" fontId="23" fillId="0" borderId="0" xfId="0" applyFont="1" applyBorder="1" applyAlignment="1">
      <alignment wrapText="1"/>
    </xf>
  </cellXfs>
  <cellStyles count="14">
    <cellStyle name="40% - 着色 2" xfId="13" builtinId="35"/>
    <cellStyle name="Date" xfId="10" xr:uid="{00000000-0005-0000-0000-000001000000}"/>
    <cellStyle name="Name" xfId="11" xr:uid="{00000000-0005-0000-0000-000006000000}"/>
    <cellStyle name="Project Start" xfId="9" xr:uid="{00000000-0005-0000-0000-000009000000}"/>
    <cellStyle name="Task" xfId="12" xr:uid="{00000000-0005-0000-0000-00000A000000}"/>
    <cellStyle name="zHiddenText" xfId="3" xr:uid="{00000000-0005-0000-0000-00000C000000}"/>
    <cellStyle name="百分比" xfId="2" builtinId="5"/>
    <cellStyle name="标题" xfId="5" builtinId="15" customBuiltin="1"/>
    <cellStyle name="标题 1" xfId="6" builtinId="16" customBuiltin="1"/>
    <cellStyle name="标题 2" xfId="7" builtinId="17" customBuiltin="1"/>
    <cellStyle name="标题 3" xfId="8" builtinId="18" customBuiltin="1"/>
    <cellStyle name="常规" xfId="0" builtinId="0"/>
    <cellStyle name="超链接" xfId="1" builtinId="8" customBuiltin="1"/>
    <cellStyle name="千位分隔" xfId="4" builtinId="3" customBuiltin="1"/>
  </cellStyles>
  <dxfs count="96">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95"/>
      <tableStyleElement type="headerRow" dxfId="94"/>
      <tableStyleElement type="totalRow" dxfId="93"/>
      <tableStyleElement type="firstColumn" dxfId="92"/>
      <tableStyleElement type="lastColumn" dxfId="91"/>
      <tableStyleElement type="firstRowStripe" dxfId="90"/>
      <tableStyleElement type="secondRowStripe" dxfId="89"/>
      <tableStyleElement type="firstColumnStripe" dxfId="88"/>
      <tableStyleElement type="secondColumnStripe" dxfId="8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427FC2"/>
      <color rgb="FFC0C0C0"/>
      <color rgb="FF215881"/>
      <color rgb="FF42648A"/>
      <color rgb="FF969696"/>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地图集">
  <a:themeElements>
    <a:clrScheme name="气流">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地图集">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地图集">
      <a:fillStyleLst>
        <a:solidFill>
          <a:schemeClr val="phClr"/>
        </a:solidFill>
        <a:gradFill rotWithShape="1">
          <a:gsLst>
            <a:gs pos="0">
              <a:schemeClr val="phClr">
                <a:tint val="62000"/>
                <a:alpha val="60000"/>
                <a:satMod val="109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hade val="90000"/>
            </a:schemeClr>
          </a:solidFill>
          <a:prstDash val="solid"/>
        </a:ln>
        <a:ln w="15875" cap="flat" cmpd="sng" algn="ctr">
          <a:solidFill>
            <a:schemeClr val="phClr">
              <a:shade val="90000"/>
            </a:scheme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38100" dist="25400" dir="5400000" rotWithShape="0">
              <a:srgbClr val="000000">
                <a:alpha val="75000"/>
              </a:srgbClr>
            </a:outerShdw>
          </a:effectLst>
          <a:scene3d>
            <a:camera prst="orthographicFront">
              <a:rot lat="0" lon="0" rev="0"/>
            </a:camera>
            <a:lightRig rig="threePt" dir="tl"/>
          </a:scene3d>
          <a:sp3d>
            <a:bevelT w="0" h="0"/>
          </a:sp3d>
        </a:effectStyle>
      </a:effectStyleLst>
      <a:bgFillStyleLst>
        <a:solidFill>
          <a:schemeClr val="phClr"/>
        </a:solidFill>
        <a:solidFill>
          <a:schemeClr val="phClr"/>
        </a:solidFill>
        <a:gradFill rotWithShape="1">
          <a:gsLst>
            <a:gs pos="10000">
              <a:schemeClr val="phClr">
                <a:tint val="94000"/>
                <a:lumMod val="116000"/>
              </a:schemeClr>
            </a:gs>
            <a:gs pos="100000">
              <a:schemeClr val="phClr">
                <a:tint val="98000"/>
                <a:shade val="86000"/>
                <a:satMod val="90000"/>
                <a:lumMod val="88000"/>
              </a:schemeClr>
            </a:gs>
          </a:gsLst>
          <a:path path="circle">
            <a:fillToRect l="50000" t="15000" r="50000" b="169000"/>
          </a:path>
        </a:gradFill>
      </a:bgFillStyleLst>
    </a:fmtScheme>
  </a:themeElements>
  <a:objectDefaults/>
  <a:extraClrSchemeLst/>
  <a:extLst>
    <a:ext uri="{05A4C25C-085E-4340-85A3-A5531E510DB2}">
      <thm15:themeFamily xmlns:thm15="http://schemas.microsoft.com/office/thememl/2012/main" name="Atlas" id="{5156B0E4-0EB1-49FE-A26B-15F6F698AEC6}" vid="{508F7963-D0B5-43F7-BB2C-FCE3009C08EC}"/>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zoomScale="70" zoomScaleNormal="70" zoomScalePageLayoutView="70" workbookViewId="0">
      <pane ySplit="6" topLeftCell="A16" activePane="bottomLeft" state="frozen"/>
      <selection pane="bottomLeft" activeCell="C3" sqref="C3:D3"/>
    </sheetView>
  </sheetViews>
  <sheetFormatPr defaultColWidth="8.77734375" defaultRowHeight="30" customHeight="1" x14ac:dyDescent="0.3"/>
  <cols>
    <col min="1" max="1" width="2.6640625" style="19" customWidth="1"/>
    <col min="2" max="2" width="34.33203125" style="17" customWidth="1"/>
    <col min="3" max="3" width="30.6640625" style="17" customWidth="1"/>
    <col min="4" max="4" width="10.6640625" style="17" customWidth="1"/>
    <col min="5" max="5" width="10.44140625" style="20" customWidth="1"/>
    <col min="6" max="6" width="10.44140625" style="17" customWidth="1"/>
    <col min="7" max="7" width="2.6640625" style="17" customWidth="1"/>
    <col min="8" max="8" width="6.109375" style="17" hidden="1" customWidth="1"/>
    <col min="9" max="22" width="3.5546875" style="17" bestFit="1" customWidth="1"/>
    <col min="23" max="30" width="2.44140625" style="17" customWidth="1"/>
    <col min="31" max="31" width="2.5546875" style="17" bestFit="1" customWidth="1"/>
    <col min="32" max="53" width="3.5546875" style="17" bestFit="1" customWidth="1"/>
    <col min="54" max="64" width="2.44140625" style="17" customWidth="1"/>
    <col min="65" max="16384" width="8.77734375" style="17"/>
  </cols>
  <sheetData>
    <row r="1" spans="1:64" ht="30" customHeight="1" x14ac:dyDescent="0.45">
      <c r="A1" s="12" t="s">
        <v>0</v>
      </c>
      <c r="B1" s="86" t="s">
        <v>64</v>
      </c>
      <c r="C1" s="13"/>
      <c r="D1" s="14"/>
      <c r="E1" s="15"/>
      <c r="F1" s="16"/>
      <c r="H1" s="14"/>
      <c r="I1" s="18"/>
    </row>
    <row r="2" spans="1:64" ht="30" customHeight="1" x14ac:dyDescent="0.3">
      <c r="A2" s="19" t="s">
        <v>1</v>
      </c>
      <c r="B2" s="87" t="s">
        <v>48</v>
      </c>
      <c r="I2" s="21"/>
    </row>
    <row r="3" spans="1:64" ht="30" customHeight="1" x14ac:dyDescent="0.3">
      <c r="A3" s="19" t="s">
        <v>2</v>
      </c>
      <c r="B3" s="22"/>
      <c r="C3" s="83" t="s">
        <v>3</v>
      </c>
      <c r="D3" s="84"/>
      <c r="E3" s="81">
        <v>45980</v>
      </c>
      <c r="F3" s="82"/>
    </row>
    <row r="4" spans="1:64" ht="30" customHeight="1" x14ac:dyDescent="0.3">
      <c r="A4" s="12" t="s">
        <v>4</v>
      </c>
      <c r="C4" s="83" t="s">
        <v>5</v>
      </c>
      <c r="D4" s="84"/>
      <c r="E4" s="23">
        <v>1</v>
      </c>
      <c r="I4" s="78">
        <f>I5</f>
        <v>45978</v>
      </c>
      <c r="J4" s="79"/>
      <c r="K4" s="79"/>
      <c r="L4" s="79"/>
      <c r="M4" s="79"/>
      <c r="N4" s="79"/>
      <c r="O4" s="80"/>
      <c r="P4" s="78">
        <f>P5</f>
        <v>45985</v>
      </c>
      <c r="Q4" s="79"/>
      <c r="R4" s="79"/>
      <c r="S4" s="79"/>
      <c r="T4" s="79"/>
      <c r="U4" s="79"/>
      <c r="V4" s="80"/>
      <c r="W4" s="78">
        <f>W5</f>
        <v>45992</v>
      </c>
      <c r="X4" s="79"/>
      <c r="Y4" s="79"/>
      <c r="Z4" s="79"/>
      <c r="AA4" s="79"/>
      <c r="AB4" s="79"/>
      <c r="AC4" s="80"/>
      <c r="AD4" s="78">
        <f>AD5</f>
        <v>45999</v>
      </c>
      <c r="AE4" s="79"/>
      <c r="AF4" s="79"/>
      <c r="AG4" s="79"/>
      <c r="AH4" s="79"/>
      <c r="AI4" s="79"/>
      <c r="AJ4" s="80"/>
      <c r="AK4" s="78">
        <f>AK5</f>
        <v>46006</v>
      </c>
      <c r="AL4" s="79"/>
      <c r="AM4" s="79"/>
      <c r="AN4" s="79"/>
      <c r="AO4" s="79"/>
      <c r="AP4" s="79"/>
      <c r="AQ4" s="80"/>
      <c r="AR4" s="78">
        <f>AR5</f>
        <v>46013</v>
      </c>
      <c r="AS4" s="79"/>
      <c r="AT4" s="79"/>
      <c r="AU4" s="79"/>
      <c r="AV4" s="79"/>
      <c r="AW4" s="79"/>
      <c r="AX4" s="80"/>
      <c r="AY4" s="78">
        <f>AY5</f>
        <v>46020</v>
      </c>
      <c r="AZ4" s="79"/>
      <c r="BA4" s="79"/>
      <c r="BB4" s="79"/>
      <c r="BC4" s="79"/>
      <c r="BD4" s="79"/>
      <c r="BE4" s="80"/>
      <c r="BF4" s="78">
        <f>BF5</f>
        <v>46027</v>
      </c>
      <c r="BG4" s="79"/>
      <c r="BH4" s="79"/>
      <c r="BI4" s="79"/>
      <c r="BJ4" s="79"/>
      <c r="BK4" s="79"/>
      <c r="BL4" s="80"/>
    </row>
    <row r="5" spans="1:64" ht="15" customHeight="1" x14ac:dyDescent="0.3">
      <c r="A5" s="12" t="s">
        <v>6</v>
      </c>
      <c r="B5" s="85"/>
      <c r="C5" s="85"/>
      <c r="D5" s="85"/>
      <c r="E5" s="85"/>
      <c r="F5" s="85"/>
      <c r="G5" s="85"/>
      <c r="I5" s="57">
        <f>Project_Start-WEEKDAY(Project_Start,1)+2+7*(Display_Week-1)</f>
        <v>45978</v>
      </c>
      <c r="J5" s="58">
        <f>I5+1</f>
        <v>45979</v>
      </c>
      <c r="K5" s="58">
        <f t="shared" ref="K5:AX5" si="0">J5+1</f>
        <v>45980</v>
      </c>
      <c r="L5" s="58">
        <f t="shared" si="0"/>
        <v>45981</v>
      </c>
      <c r="M5" s="58">
        <f t="shared" si="0"/>
        <v>45982</v>
      </c>
      <c r="N5" s="58">
        <f t="shared" si="0"/>
        <v>45983</v>
      </c>
      <c r="O5" s="59">
        <f t="shared" si="0"/>
        <v>45984</v>
      </c>
      <c r="P5" s="57">
        <f>O5+1</f>
        <v>45985</v>
      </c>
      <c r="Q5" s="58">
        <f>P5+1</f>
        <v>45986</v>
      </c>
      <c r="R5" s="58">
        <f t="shared" si="0"/>
        <v>45987</v>
      </c>
      <c r="S5" s="58">
        <f t="shared" si="0"/>
        <v>45988</v>
      </c>
      <c r="T5" s="58">
        <f t="shared" si="0"/>
        <v>45989</v>
      </c>
      <c r="U5" s="58">
        <f t="shared" si="0"/>
        <v>45990</v>
      </c>
      <c r="V5" s="59">
        <f t="shared" si="0"/>
        <v>45991</v>
      </c>
      <c r="W5" s="57">
        <f>V5+1</f>
        <v>45992</v>
      </c>
      <c r="X5" s="58">
        <f>W5+1</f>
        <v>45993</v>
      </c>
      <c r="Y5" s="58">
        <f t="shared" si="0"/>
        <v>45994</v>
      </c>
      <c r="Z5" s="58">
        <f t="shared" si="0"/>
        <v>45995</v>
      </c>
      <c r="AA5" s="58">
        <f t="shared" si="0"/>
        <v>45996</v>
      </c>
      <c r="AB5" s="58">
        <f t="shared" si="0"/>
        <v>45997</v>
      </c>
      <c r="AC5" s="59">
        <f t="shared" si="0"/>
        <v>45998</v>
      </c>
      <c r="AD5" s="57">
        <f>AC5+1</f>
        <v>45999</v>
      </c>
      <c r="AE5" s="58">
        <f>AD5+1</f>
        <v>46000</v>
      </c>
      <c r="AF5" s="58">
        <f t="shared" si="0"/>
        <v>46001</v>
      </c>
      <c r="AG5" s="58">
        <f t="shared" si="0"/>
        <v>46002</v>
      </c>
      <c r="AH5" s="58">
        <f t="shared" si="0"/>
        <v>46003</v>
      </c>
      <c r="AI5" s="58">
        <f t="shared" si="0"/>
        <v>46004</v>
      </c>
      <c r="AJ5" s="59">
        <f t="shared" si="0"/>
        <v>46005</v>
      </c>
      <c r="AK5" s="57">
        <f>AJ5+1</f>
        <v>46006</v>
      </c>
      <c r="AL5" s="58">
        <f>AK5+1</f>
        <v>46007</v>
      </c>
      <c r="AM5" s="58">
        <f t="shared" si="0"/>
        <v>46008</v>
      </c>
      <c r="AN5" s="58">
        <f t="shared" si="0"/>
        <v>46009</v>
      </c>
      <c r="AO5" s="58">
        <f t="shared" si="0"/>
        <v>46010</v>
      </c>
      <c r="AP5" s="58">
        <f t="shared" si="0"/>
        <v>46011</v>
      </c>
      <c r="AQ5" s="59">
        <f t="shared" si="0"/>
        <v>46012</v>
      </c>
      <c r="AR5" s="57">
        <f>AQ5+1</f>
        <v>46013</v>
      </c>
      <c r="AS5" s="58">
        <f>AR5+1</f>
        <v>46014</v>
      </c>
      <c r="AT5" s="58">
        <f t="shared" si="0"/>
        <v>46015</v>
      </c>
      <c r="AU5" s="58">
        <f t="shared" si="0"/>
        <v>46016</v>
      </c>
      <c r="AV5" s="58">
        <f t="shared" si="0"/>
        <v>46017</v>
      </c>
      <c r="AW5" s="58">
        <f t="shared" si="0"/>
        <v>46018</v>
      </c>
      <c r="AX5" s="59">
        <f t="shared" si="0"/>
        <v>46019</v>
      </c>
      <c r="AY5" s="57">
        <f>AX5+1</f>
        <v>46020</v>
      </c>
      <c r="AZ5" s="58">
        <f>AY5+1</f>
        <v>46021</v>
      </c>
      <c r="BA5" s="58">
        <f t="shared" ref="BA5:BE5" si="1">AZ5+1</f>
        <v>46022</v>
      </c>
      <c r="BB5" s="58">
        <f t="shared" si="1"/>
        <v>46023</v>
      </c>
      <c r="BC5" s="58">
        <f t="shared" si="1"/>
        <v>46024</v>
      </c>
      <c r="BD5" s="58">
        <f t="shared" si="1"/>
        <v>46025</v>
      </c>
      <c r="BE5" s="59">
        <f t="shared" si="1"/>
        <v>46026</v>
      </c>
      <c r="BF5" s="57">
        <f>BE5+1</f>
        <v>46027</v>
      </c>
      <c r="BG5" s="58">
        <f>BF5+1</f>
        <v>46028</v>
      </c>
      <c r="BH5" s="58">
        <f t="shared" ref="BH5:BL5" si="2">BG5+1</f>
        <v>46029</v>
      </c>
      <c r="BI5" s="58">
        <f t="shared" si="2"/>
        <v>46030</v>
      </c>
      <c r="BJ5" s="58">
        <f t="shared" si="2"/>
        <v>46031</v>
      </c>
      <c r="BK5" s="58">
        <f t="shared" si="2"/>
        <v>46032</v>
      </c>
      <c r="BL5" s="59">
        <f t="shared" si="2"/>
        <v>46033</v>
      </c>
    </row>
    <row r="6" spans="1:64" ht="30" customHeight="1" thickBot="1" x14ac:dyDescent="0.35">
      <c r="A6" s="12" t="s">
        <v>7</v>
      </c>
      <c r="B6" s="24" t="s">
        <v>8</v>
      </c>
      <c r="C6" s="25" t="s">
        <v>9</v>
      </c>
      <c r="D6" s="25" t="s">
        <v>10</v>
      </c>
      <c r="E6" s="25" t="s">
        <v>11</v>
      </c>
      <c r="F6" s="25" t="s">
        <v>12</v>
      </c>
      <c r="G6" s="25"/>
      <c r="H6" s="25" t="s">
        <v>13</v>
      </c>
      <c r="I6" s="26" t="str">
        <f t="shared" ref="I6" si="3">LEFT(TEXT(I5,"ddd"),1)</f>
        <v>M</v>
      </c>
      <c r="J6" s="26" t="str">
        <f t="shared" ref="J6:AR6" si="4">LEFT(TEXT(J5,"ddd"),1)</f>
        <v>T</v>
      </c>
      <c r="K6" s="26" t="str">
        <f t="shared" si="4"/>
        <v>W</v>
      </c>
      <c r="L6" s="26" t="str">
        <f t="shared" si="4"/>
        <v>T</v>
      </c>
      <c r="M6" s="26" t="str">
        <f t="shared" si="4"/>
        <v>F</v>
      </c>
      <c r="N6" s="26" t="str">
        <f t="shared" si="4"/>
        <v>S</v>
      </c>
      <c r="O6" s="26" t="str">
        <f t="shared" si="4"/>
        <v>S</v>
      </c>
      <c r="P6" s="26" t="str">
        <f t="shared" si="4"/>
        <v>M</v>
      </c>
      <c r="Q6" s="26" t="str">
        <f t="shared" si="4"/>
        <v>T</v>
      </c>
      <c r="R6" s="26" t="str">
        <f t="shared" si="4"/>
        <v>W</v>
      </c>
      <c r="S6" s="26" t="str">
        <f t="shared" si="4"/>
        <v>T</v>
      </c>
      <c r="T6" s="26" t="str">
        <f t="shared" si="4"/>
        <v>F</v>
      </c>
      <c r="U6" s="26" t="str">
        <f t="shared" si="4"/>
        <v>S</v>
      </c>
      <c r="V6" s="26" t="str">
        <f t="shared" si="4"/>
        <v>S</v>
      </c>
      <c r="W6" s="26" t="str">
        <f t="shared" si="4"/>
        <v>M</v>
      </c>
      <c r="X6" s="26" t="str">
        <f t="shared" si="4"/>
        <v>T</v>
      </c>
      <c r="Y6" s="26" t="str">
        <f t="shared" si="4"/>
        <v>W</v>
      </c>
      <c r="Z6" s="26" t="str">
        <f t="shared" si="4"/>
        <v>T</v>
      </c>
      <c r="AA6" s="26" t="str">
        <f t="shared" si="4"/>
        <v>F</v>
      </c>
      <c r="AB6" s="26" t="str">
        <f t="shared" si="4"/>
        <v>S</v>
      </c>
      <c r="AC6" s="26" t="str">
        <f t="shared" si="4"/>
        <v>S</v>
      </c>
      <c r="AD6" s="26" t="str">
        <f t="shared" si="4"/>
        <v>M</v>
      </c>
      <c r="AE6" s="26" t="str">
        <f t="shared" si="4"/>
        <v>T</v>
      </c>
      <c r="AF6" s="26" t="str">
        <f t="shared" si="4"/>
        <v>W</v>
      </c>
      <c r="AG6" s="26" t="str">
        <f t="shared" si="4"/>
        <v>T</v>
      </c>
      <c r="AH6" s="26" t="str">
        <f t="shared" si="4"/>
        <v>F</v>
      </c>
      <c r="AI6" s="26" t="str">
        <f t="shared" si="4"/>
        <v>S</v>
      </c>
      <c r="AJ6" s="26" t="str">
        <f t="shared" si="4"/>
        <v>S</v>
      </c>
      <c r="AK6" s="26" t="str">
        <f t="shared" si="4"/>
        <v>M</v>
      </c>
      <c r="AL6" s="26" t="str">
        <f t="shared" si="4"/>
        <v>T</v>
      </c>
      <c r="AM6" s="26" t="str">
        <f t="shared" si="4"/>
        <v>W</v>
      </c>
      <c r="AN6" s="26" t="str">
        <f t="shared" si="4"/>
        <v>T</v>
      </c>
      <c r="AO6" s="26" t="str">
        <f t="shared" si="4"/>
        <v>F</v>
      </c>
      <c r="AP6" s="26" t="str">
        <f t="shared" si="4"/>
        <v>S</v>
      </c>
      <c r="AQ6" s="26" t="str">
        <f t="shared" si="4"/>
        <v>S</v>
      </c>
      <c r="AR6" s="26" t="str">
        <f t="shared" si="4"/>
        <v>M</v>
      </c>
      <c r="AS6" s="26" t="str">
        <f t="shared" ref="AS6:BL6" si="5">LEFT(TEXT(AS5,"ddd"),1)</f>
        <v>T</v>
      </c>
      <c r="AT6" s="26" t="str">
        <f t="shared" si="5"/>
        <v>W</v>
      </c>
      <c r="AU6" s="26" t="str">
        <f t="shared" si="5"/>
        <v>T</v>
      </c>
      <c r="AV6" s="26" t="str">
        <f t="shared" si="5"/>
        <v>F</v>
      </c>
      <c r="AW6" s="26" t="str">
        <f t="shared" si="5"/>
        <v>S</v>
      </c>
      <c r="AX6" s="26" t="str">
        <f t="shared" si="5"/>
        <v>S</v>
      </c>
      <c r="AY6" s="26" t="str">
        <f t="shared" si="5"/>
        <v>M</v>
      </c>
      <c r="AZ6" s="26" t="str">
        <f t="shared" si="5"/>
        <v>T</v>
      </c>
      <c r="BA6" s="26" t="str">
        <f t="shared" si="5"/>
        <v>W</v>
      </c>
      <c r="BB6" s="26" t="str">
        <f t="shared" si="5"/>
        <v>T</v>
      </c>
      <c r="BC6" s="26" t="str">
        <f t="shared" si="5"/>
        <v>F</v>
      </c>
      <c r="BD6" s="26" t="str">
        <f t="shared" si="5"/>
        <v>S</v>
      </c>
      <c r="BE6" s="26" t="str">
        <f t="shared" si="5"/>
        <v>S</v>
      </c>
      <c r="BF6" s="26" t="str">
        <f t="shared" si="5"/>
        <v>M</v>
      </c>
      <c r="BG6" s="26" t="str">
        <f t="shared" si="5"/>
        <v>T</v>
      </c>
      <c r="BH6" s="26" t="str">
        <f t="shared" si="5"/>
        <v>W</v>
      </c>
      <c r="BI6" s="26" t="str">
        <f t="shared" si="5"/>
        <v>T</v>
      </c>
      <c r="BJ6" s="26" t="str">
        <f t="shared" si="5"/>
        <v>F</v>
      </c>
      <c r="BK6" s="26" t="str">
        <f t="shared" si="5"/>
        <v>S</v>
      </c>
      <c r="BL6" s="26" t="str">
        <f t="shared" si="5"/>
        <v>S</v>
      </c>
    </row>
    <row r="7" spans="1:64" ht="30" hidden="1" customHeight="1" thickBot="1" x14ac:dyDescent="0.35">
      <c r="A7" s="19" t="s">
        <v>14</v>
      </c>
      <c r="C7" s="27"/>
      <c r="E7" s="17"/>
      <c r="H7" s="1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35" customFormat="1" ht="30" customHeight="1" thickBot="1" x14ac:dyDescent="0.35">
      <c r="A8" s="12" t="s">
        <v>15</v>
      </c>
      <c r="B8" s="29" t="s">
        <v>49</v>
      </c>
      <c r="C8" s="30"/>
      <c r="D8" s="31"/>
      <c r="E8" s="32">
        <f>Project_Start</f>
        <v>45980</v>
      </c>
      <c r="F8" s="33">
        <f>E12</f>
        <v>45986</v>
      </c>
      <c r="G8" s="34"/>
      <c r="H8" s="34">
        <f t="shared" ref="H8:H27" si="6">IF(OR(ISBLANK(task_start),ISBLANK(task_end)),"",task_end-task_start+1)</f>
        <v>7</v>
      </c>
      <c r="I8" s="28"/>
      <c r="J8" s="28"/>
      <c r="K8" s="28"/>
      <c r="L8" s="60"/>
      <c r="M8" s="60"/>
      <c r="N8" s="60"/>
      <c r="O8" s="60"/>
      <c r="P8" s="60"/>
      <c r="Q8" s="60"/>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pans="1:64" s="35" customFormat="1" ht="30" customHeight="1" thickBot="1" x14ac:dyDescent="0.35">
      <c r="A9" s="12" t="s">
        <v>16</v>
      </c>
      <c r="B9" s="36" t="s">
        <v>50</v>
      </c>
      <c r="C9" s="37" t="s">
        <v>42</v>
      </c>
      <c r="D9" s="38">
        <v>1</v>
      </c>
      <c r="E9" s="39">
        <f>Project_Start</f>
        <v>45980</v>
      </c>
      <c r="F9" s="39">
        <f>E9+2</f>
        <v>45982</v>
      </c>
      <c r="G9" s="34"/>
      <c r="H9" s="34">
        <f t="shared" si="6"/>
        <v>3</v>
      </c>
      <c r="I9" s="28"/>
      <c r="J9" s="28"/>
      <c r="K9" s="28"/>
      <c r="L9" s="56"/>
      <c r="M9" s="54"/>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row>
    <row r="10" spans="1:64" s="35" customFormat="1" ht="30" customHeight="1" thickBot="1" x14ac:dyDescent="0.35">
      <c r="A10" s="12" t="s">
        <v>17</v>
      </c>
      <c r="B10" s="36" t="s">
        <v>35</v>
      </c>
      <c r="C10" s="37" t="s">
        <v>42</v>
      </c>
      <c r="D10" s="38">
        <v>1</v>
      </c>
      <c r="E10" s="39">
        <f>F9-1</f>
        <v>45981</v>
      </c>
      <c r="F10" s="39">
        <f>E10+1</f>
        <v>45982</v>
      </c>
      <c r="G10" s="34"/>
      <c r="H10" s="34">
        <f t="shared" si="6"/>
        <v>2</v>
      </c>
      <c r="I10" s="28"/>
      <c r="J10" s="28"/>
      <c r="K10" s="28"/>
      <c r="L10" s="28"/>
      <c r="M10" s="28"/>
      <c r="N10" s="28"/>
      <c r="O10" s="28"/>
      <c r="P10" s="28"/>
      <c r="Q10" s="28"/>
      <c r="R10" s="28"/>
      <c r="S10" s="28"/>
      <c r="T10" s="28"/>
      <c r="U10" s="40"/>
      <c r="V10" s="40"/>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row>
    <row r="11" spans="1:64" s="35" customFormat="1" ht="30" customHeight="1" thickBot="1" x14ac:dyDescent="0.35">
      <c r="A11" s="19"/>
      <c r="B11" s="36" t="s">
        <v>51</v>
      </c>
      <c r="C11" s="37" t="s">
        <v>45</v>
      </c>
      <c r="D11" s="38">
        <v>1</v>
      </c>
      <c r="E11" s="39">
        <f>F10+1</f>
        <v>45983</v>
      </c>
      <c r="F11" s="39">
        <f>E11+3</f>
        <v>45986</v>
      </c>
      <c r="G11" s="34"/>
      <c r="H11" s="34">
        <f t="shared" si="6"/>
        <v>4</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row>
    <row r="12" spans="1:64" s="35" customFormat="1" ht="30" customHeight="1" thickBot="1" x14ac:dyDescent="0.35">
      <c r="A12" s="19"/>
      <c r="B12" s="36" t="s">
        <v>36</v>
      </c>
      <c r="C12" s="37"/>
      <c r="D12" s="38"/>
      <c r="E12" s="39">
        <f>F11</f>
        <v>45986</v>
      </c>
      <c r="F12" s="39">
        <f>E12</f>
        <v>45986</v>
      </c>
      <c r="G12" s="34"/>
      <c r="H12" s="34">
        <f t="shared" si="6"/>
        <v>1</v>
      </c>
      <c r="I12" s="28"/>
      <c r="J12" s="28"/>
      <c r="K12" s="28"/>
      <c r="L12" s="28"/>
      <c r="M12" s="28"/>
      <c r="N12" s="28"/>
      <c r="O12" s="28"/>
      <c r="P12" s="28"/>
      <c r="Q12" s="28"/>
      <c r="R12" s="28"/>
      <c r="S12" s="28"/>
      <c r="T12" s="28"/>
      <c r="U12" s="28"/>
      <c r="V12" s="28"/>
      <c r="W12" s="28"/>
      <c r="X12" s="28"/>
      <c r="Y12" s="40"/>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row>
    <row r="13" spans="1:64" s="35" customFormat="1" ht="30" customHeight="1" thickBot="1" x14ac:dyDescent="0.35">
      <c r="A13" s="19"/>
      <c r="B13" s="76" t="s">
        <v>62</v>
      </c>
      <c r="C13" s="41"/>
      <c r="D13" s="42"/>
      <c r="E13" s="61">
        <f>F12+1</f>
        <v>45987</v>
      </c>
      <c r="F13" s="61">
        <f>E13+9</f>
        <v>45996</v>
      </c>
      <c r="G13" s="34"/>
      <c r="H13" s="34">
        <f t="shared" si="6"/>
        <v>10</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row>
    <row r="14" spans="1:64" s="35" customFormat="1" ht="30" customHeight="1" thickBot="1" x14ac:dyDescent="0.35">
      <c r="A14" s="12" t="s">
        <v>18</v>
      </c>
      <c r="B14" s="43" t="s">
        <v>52</v>
      </c>
      <c r="C14" s="44" t="s">
        <v>44</v>
      </c>
      <c r="D14" s="45">
        <v>1</v>
      </c>
      <c r="E14" s="62">
        <f>E13</f>
        <v>45987</v>
      </c>
      <c r="F14" s="63">
        <f>E14+4</f>
        <v>45991</v>
      </c>
      <c r="G14" s="34"/>
      <c r="H14" s="34">
        <f t="shared" si="6"/>
        <v>5</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row>
    <row r="15" spans="1:64" s="35" customFormat="1" ht="30" customHeight="1" thickBot="1" x14ac:dyDescent="0.35">
      <c r="A15" s="12"/>
      <c r="B15" s="43" t="s">
        <v>53</v>
      </c>
      <c r="C15" s="44" t="s">
        <v>45</v>
      </c>
      <c r="D15" s="45">
        <v>1</v>
      </c>
      <c r="E15" s="46">
        <f>E13</f>
        <v>45987</v>
      </c>
      <c r="F15" s="46">
        <f>E15+5</f>
        <v>45992</v>
      </c>
      <c r="G15" s="34"/>
      <c r="H15" s="34">
        <f t="shared" si="6"/>
        <v>6</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row>
    <row r="16" spans="1:64" s="35" customFormat="1" ht="30" customHeight="1" thickBot="1" x14ac:dyDescent="0.35">
      <c r="A16" s="19"/>
      <c r="B16" s="43" t="s">
        <v>54</v>
      </c>
      <c r="C16" s="44" t="s">
        <v>45</v>
      </c>
      <c r="D16" s="45">
        <v>1</v>
      </c>
      <c r="E16" s="46">
        <f>F15</f>
        <v>45992</v>
      </c>
      <c r="F16" s="46">
        <f>E16+4</f>
        <v>45996</v>
      </c>
      <c r="G16" s="34"/>
      <c r="H16" s="34">
        <f t="shared" si="6"/>
        <v>5</v>
      </c>
      <c r="I16" s="28"/>
      <c r="J16" s="28"/>
      <c r="K16" s="28"/>
      <c r="L16" s="28"/>
      <c r="M16" s="28"/>
      <c r="N16" s="28"/>
      <c r="O16" s="28"/>
      <c r="P16" s="28"/>
      <c r="Q16" s="28"/>
      <c r="R16" s="28"/>
      <c r="S16" s="28"/>
      <c r="T16" s="28"/>
      <c r="U16" s="40"/>
      <c r="V16" s="40"/>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row>
    <row r="17" spans="1:64" s="35" customFormat="1" ht="30" customHeight="1" thickBot="1" x14ac:dyDescent="0.35">
      <c r="A17" s="19"/>
      <c r="B17" s="43" t="s">
        <v>37</v>
      </c>
      <c r="C17" s="44"/>
      <c r="D17" s="45"/>
      <c r="E17" s="46">
        <f>F13</f>
        <v>45996</v>
      </c>
      <c r="F17" s="46">
        <f>F16</f>
        <v>45996</v>
      </c>
      <c r="G17" s="34"/>
      <c r="H17" s="34">
        <f t="shared" si="6"/>
        <v>1</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row>
    <row r="18" spans="1:64" s="35" customFormat="1" ht="30" customHeight="1" thickBot="1" x14ac:dyDescent="0.35">
      <c r="A18" s="19"/>
      <c r="B18" s="77" t="s">
        <v>55</v>
      </c>
      <c r="C18" s="64"/>
      <c r="D18" s="65"/>
      <c r="E18" s="66">
        <f>E17+1</f>
        <v>45997</v>
      </c>
      <c r="F18" s="66">
        <f>E18+5</f>
        <v>46002</v>
      </c>
      <c r="G18" s="34"/>
      <c r="H18" s="34">
        <f t="shared" si="6"/>
        <v>6</v>
      </c>
      <c r="I18" s="28"/>
      <c r="J18" s="28"/>
      <c r="K18" s="28"/>
      <c r="L18" s="28"/>
      <c r="M18" s="28"/>
      <c r="N18" s="28"/>
      <c r="O18" s="28"/>
      <c r="P18" s="28"/>
      <c r="Q18" s="28"/>
      <c r="R18" s="28"/>
      <c r="S18" s="28"/>
      <c r="T18" s="28"/>
      <c r="U18" s="28"/>
      <c r="V18" s="28"/>
      <c r="W18" s="28"/>
      <c r="X18" s="28"/>
      <c r="Y18" s="40"/>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row>
    <row r="19" spans="1:64" s="35" customFormat="1" ht="30" customHeight="1" thickBot="1" x14ac:dyDescent="0.35">
      <c r="A19" s="19"/>
      <c r="B19" s="67" t="s">
        <v>56</v>
      </c>
      <c r="C19" s="68" t="s">
        <v>57</v>
      </c>
      <c r="D19" s="75">
        <v>1</v>
      </c>
      <c r="E19" s="70">
        <f>E18</f>
        <v>45997</v>
      </c>
      <c r="F19" s="70">
        <f>E19+5</f>
        <v>46002</v>
      </c>
      <c r="G19" s="34"/>
      <c r="H19" s="34"/>
      <c r="I19" s="28"/>
      <c r="J19" s="28"/>
      <c r="K19" s="28"/>
      <c r="L19" s="28"/>
      <c r="M19" s="28"/>
      <c r="N19" s="28"/>
      <c r="O19" s="28"/>
      <c r="P19" s="28"/>
      <c r="Q19" s="28"/>
      <c r="R19" s="28"/>
      <c r="S19" s="28"/>
      <c r="T19" s="28"/>
      <c r="U19" s="28"/>
      <c r="V19" s="28"/>
      <c r="W19" s="28"/>
      <c r="X19" s="28"/>
      <c r="Y19" s="40"/>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row>
    <row r="20" spans="1:64" s="35" customFormat="1" ht="30" customHeight="1" thickBot="1" x14ac:dyDescent="0.35">
      <c r="A20" s="19"/>
      <c r="B20" s="67" t="s">
        <v>58</v>
      </c>
      <c r="C20" s="68" t="s">
        <v>46</v>
      </c>
      <c r="D20" s="75">
        <v>1</v>
      </c>
      <c r="E20" s="70">
        <f>E19+1</f>
        <v>45998</v>
      </c>
      <c r="F20" s="70">
        <f>E20+3</f>
        <v>46001</v>
      </c>
      <c r="G20" s="34"/>
      <c r="H20" s="34"/>
      <c r="I20" s="28"/>
      <c r="J20" s="28"/>
      <c r="K20" s="28"/>
      <c r="L20" s="28"/>
      <c r="M20" s="28"/>
      <c r="N20" s="28"/>
      <c r="O20" s="28"/>
      <c r="P20" s="28"/>
      <c r="Q20" s="28"/>
      <c r="R20" s="28"/>
      <c r="S20" s="28"/>
      <c r="T20" s="28"/>
      <c r="U20" s="28"/>
      <c r="V20" s="28"/>
      <c r="W20" s="28"/>
      <c r="X20" s="28"/>
      <c r="Y20" s="40"/>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row>
    <row r="21" spans="1:64" s="35" customFormat="1" ht="30" customHeight="1" thickBot="1" x14ac:dyDescent="0.35">
      <c r="A21" s="19"/>
      <c r="B21" s="67" t="s">
        <v>59</v>
      </c>
      <c r="C21" s="68" t="s">
        <v>43</v>
      </c>
      <c r="D21" s="75">
        <v>1</v>
      </c>
      <c r="E21" s="70">
        <f>E20+1</f>
        <v>45999</v>
      </c>
      <c r="F21" s="70">
        <f>E21+3</f>
        <v>46002</v>
      </c>
      <c r="G21" s="34"/>
      <c r="H21" s="34">
        <f t="shared" si="6"/>
        <v>4</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row>
    <row r="22" spans="1:64" s="35" customFormat="1" ht="30" customHeight="1" thickBot="1" x14ac:dyDescent="0.35">
      <c r="A22" s="19" t="s">
        <v>19</v>
      </c>
      <c r="B22" s="67" t="s">
        <v>40</v>
      </c>
      <c r="C22" s="68"/>
      <c r="D22" s="69"/>
      <c r="E22" s="71">
        <f>F21</f>
        <v>46002</v>
      </c>
      <c r="F22" s="72">
        <f>E22</f>
        <v>46002</v>
      </c>
      <c r="G22" s="34"/>
      <c r="H22" s="34">
        <f t="shared" si="6"/>
        <v>1</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row>
    <row r="23" spans="1:64" s="35" customFormat="1" ht="30" customHeight="1" thickBot="1" x14ac:dyDescent="0.35">
      <c r="A23" s="19"/>
      <c r="B23" s="47" t="s">
        <v>60</v>
      </c>
      <c r="C23" s="48"/>
      <c r="D23" s="49"/>
      <c r="E23" s="74">
        <f>F22+1</f>
        <v>46003</v>
      </c>
      <c r="F23" s="74">
        <f>E23+6</f>
        <v>46009</v>
      </c>
      <c r="G23" s="34"/>
      <c r="H23" s="34">
        <f t="shared" si="6"/>
        <v>7</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row>
    <row r="24" spans="1:64" s="35" customFormat="1" ht="30" customHeight="1" thickBot="1" x14ac:dyDescent="0.35">
      <c r="A24" s="19"/>
      <c r="B24" s="50" t="s">
        <v>38</v>
      </c>
      <c r="C24" s="51" t="s">
        <v>47</v>
      </c>
      <c r="D24" s="73">
        <v>1</v>
      </c>
      <c r="E24" s="53">
        <f>E23</f>
        <v>46003</v>
      </c>
      <c r="F24" s="53">
        <f>E24+3</f>
        <v>46006</v>
      </c>
      <c r="G24" s="34"/>
      <c r="H24" s="34">
        <f t="shared" si="6"/>
        <v>4</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55"/>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row>
    <row r="25" spans="1:64" s="35" customFormat="1" ht="30" customHeight="1" thickBot="1" x14ac:dyDescent="0.35">
      <c r="A25" s="19"/>
      <c r="B25" s="50" t="s">
        <v>39</v>
      </c>
      <c r="C25" s="51" t="s">
        <v>47</v>
      </c>
      <c r="D25" s="73">
        <v>1</v>
      </c>
      <c r="E25" s="53">
        <f>F24</f>
        <v>46006</v>
      </c>
      <c r="F25" s="53">
        <f>E25+2</f>
        <v>46008</v>
      </c>
      <c r="G25" s="34"/>
      <c r="H25" s="34">
        <f t="shared" si="6"/>
        <v>3</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row>
    <row r="26" spans="1:64" s="35" customFormat="1" ht="30" customHeight="1" thickBot="1" x14ac:dyDescent="0.35">
      <c r="A26" s="19"/>
      <c r="B26" s="50" t="s">
        <v>61</v>
      </c>
      <c r="C26" s="51"/>
      <c r="D26" s="51"/>
      <c r="E26" s="53">
        <f>F25</f>
        <v>46008</v>
      </c>
      <c r="F26" s="53">
        <f>E26</f>
        <v>46008</v>
      </c>
      <c r="G26" s="34"/>
      <c r="H26" s="34">
        <f t="shared" si="6"/>
        <v>1</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89"/>
      <c r="AH26" s="28"/>
      <c r="AI26" s="28"/>
      <c r="AJ26" s="28"/>
      <c r="AK26" s="28"/>
      <c r="AM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row>
    <row r="27" spans="1:64" ht="30" customHeight="1" thickBot="1" x14ac:dyDescent="0.35">
      <c r="B27" s="50" t="s">
        <v>41</v>
      </c>
      <c r="C27" s="51"/>
      <c r="D27" s="52"/>
      <c r="E27" s="53">
        <f>F26+1</f>
        <v>46009</v>
      </c>
      <c r="F27" s="53">
        <f>E27</f>
        <v>46009</v>
      </c>
      <c r="G27" s="34"/>
      <c r="H27" s="34">
        <f t="shared" si="6"/>
        <v>1</v>
      </c>
      <c r="I27" s="28"/>
      <c r="J27" s="28"/>
      <c r="K27" s="28"/>
      <c r="L27" s="28"/>
      <c r="M27" s="28"/>
      <c r="N27" s="28"/>
      <c r="O27" s="28"/>
      <c r="P27" s="28"/>
      <c r="Q27" s="28"/>
      <c r="R27" s="28"/>
      <c r="S27" s="28"/>
      <c r="T27" s="28"/>
      <c r="U27" s="28"/>
      <c r="V27" s="28"/>
      <c r="W27" s="28"/>
      <c r="X27" s="28"/>
      <c r="Y27" s="28"/>
      <c r="Z27" s="28"/>
      <c r="AA27" s="28"/>
      <c r="AB27" s="28"/>
      <c r="AC27" s="28"/>
      <c r="AD27" s="28"/>
      <c r="AE27" s="28"/>
      <c r="AF27" s="88"/>
      <c r="AG27" s="88"/>
      <c r="AH27" s="88"/>
      <c r="AI27" s="8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row>
    <row r="28" spans="1:64" ht="30" customHeight="1" x14ac:dyDescent="0.3">
      <c r="B28" s="90" t="s">
        <v>63</v>
      </c>
      <c r="C28" s="90"/>
      <c r="D28" s="90"/>
      <c r="E28" s="90"/>
      <c r="F28" s="90"/>
      <c r="G28" s="90"/>
      <c r="H28" s="90"/>
      <c r="I28" s="90"/>
      <c r="J28" s="90"/>
      <c r="K28" s="90"/>
      <c r="L28" s="90"/>
      <c r="M28" s="90"/>
      <c r="N28" s="91"/>
    </row>
    <row r="29" spans="1:64" ht="30" customHeight="1" x14ac:dyDescent="0.3">
      <c r="B29" s="90"/>
      <c r="C29" s="90"/>
      <c r="D29" s="90"/>
      <c r="E29" s="90"/>
      <c r="F29" s="90"/>
      <c r="G29" s="90"/>
      <c r="H29" s="90"/>
      <c r="I29" s="90"/>
      <c r="J29" s="90"/>
      <c r="K29" s="90"/>
      <c r="L29" s="90"/>
      <c r="M29" s="90"/>
      <c r="N29" s="91"/>
    </row>
    <row r="30" spans="1:64" ht="30" customHeight="1" x14ac:dyDescent="0.3">
      <c r="B30" s="90"/>
      <c r="C30" s="90"/>
      <c r="D30" s="90"/>
      <c r="E30" s="90"/>
      <c r="F30" s="90"/>
      <c r="G30" s="90"/>
      <c r="H30" s="90"/>
      <c r="I30" s="90"/>
      <c r="J30" s="90"/>
      <c r="K30" s="90"/>
      <c r="L30" s="90"/>
      <c r="M30" s="90"/>
      <c r="N30" s="91"/>
    </row>
    <row r="31" spans="1:64" ht="30" customHeight="1" x14ac:dyDescent="0.3">
      <c r="B31" s="90"/>
      <c r="C31" s="90"/>
      <c r="D31" s="90"/>
      <c r="E31" s="90"/>
      <c r="F31" s="90"/>
      <c r="G31" s="90"/>
      <c r="H31" s="90"/>
      <c r="I31" s="90"/>
      <c r="J31" s="90"/>
      <c r="K31" s="90"/>
      <c r="L31" s="90"/>
      <c r="M31" s="90"/>
      <c r="N31" s="91"/>
    </row>
    <row r="32" spans="1:64" ht="30" customHeight="1" x14ac:dyDescent="0.3">
      <c r="B32" s="90"/>
      <c r="C32" s="90"/>
      <c r="D32" s="90"/>
      <c r="E32" s="90"/>
      <c r="F32" s="90"/>
      <c r="G32" s="90"/>
      <c r="H32" s="90"/>
      <c r="I32" s="90"/>
      <c r="J32" s="90"/>
      <c r="K32" s="90"/>
      <c r="L32" s="90"/>
      <c r="M32" s="90"/>
      <c r="N32" s="91"/>
    </row>
    <row r="33" spans="2:14" ht="30" customHeight="1" x14ac:dyDescent="0.3">
      <c r="B33" s="90"/>
      <c r="C33" s="90"/>
      <c r="D33" s="90"/>
      <c r="E33" s="90"/>
      <c r="F33" s="90"/>
      <c r="G33" s="90"/>
      <c r="H33" s="90"/>
      <c r="I33" s="90"/>
      <c r="J33" s="90"/>
      <c r="K33" s="90"/>
      <c r="L33" s="90"/>
      <c r="M33" s="90"/>
      <c r="N33" s="91"/>
    </row>
    <row r="34" spans="2:14" ht="30" customHeight="1" x14ac:dyDescent="0.3">
      <c r="B34" s="90"/>
      <c r="C34" s="90"/>
      <c r="D34" s="90"/>
      <c r="E34" s="90"/>
      <c r="F34" s="90"/>
      <c r="G34" s="90"/>
      <c r="H34" s="90"/>
      <c r="I34" s="90"/>
      <c r="J34" s="90"/>
      <c r="K34" s="90"/>
      <c r="L34" s="90"/>
      <c r="M34" s="90"/>
      <c r="N34" s="91"/>
    </row>
    <row r="35" spans="2:14" ht="30" customHeight="1" x14ac:dyDescent="0.3">
      <c r="B35" s="90"/>
      <c r="C35" s="90"/>
      <c r="D35" s="90"/>
      <c r="E35" s="90"/>
      <c r="F35" s="90"/>
      <c r="G35" s="90"/>
      <c r="H35" s="90"/>
      <c r="I35" s="90"/>
      <c r="J35" s="90"/>
      <c r="K35" s="90"/>
      <c r="L35" s="90"/>
      <c r="M35" s="90"/>
    </row>
    <row r="36" spans="2:14" ht="30" customHeight="1" x14ac:dyDescent="0.3">
      <c r="B36" s="90"/>
      <c r="C36" s="90"/>
      <c r="D36" s="90"/>
      <c r="E36" s="90"/>
      <c r="F36" s="90"/>
      <c r="G36" s="90"/>
      <c r="H36" s="90"/>
      <c r="I36" s="90"/>
      <c r="J36" s="90"/>
      <c r="K36" s="90"/>
      <c r="L36" s="90"/>
      <c r="M36" s="90"/>
    </row>
    <row r="37" spans="2:14" ht="30" customHeight="1" x14ac:dyDescent="0.3">
      <c r="B37" s="90"/>
      <c r="C37" s="90"/>
      <c r="D37" s="90"/>
      <c r="E37" s="90"/>
      <c r="F37" s="90"/>
      <c r="G37" s="90"/>
      <c r="H37" s="90"/>
      <c r="I37" s="90"/>
      <c r="J37" s="90"/>
      <c r="K37" s="90"/>
      <c r="L37" s="90"/>
      <c r="M37" s="90"/>
    </row>
  </sheetData>
  <mergeCells count="13">
    <mergeCell ref="B28:M37"/>
    <mergeCell ref="C3:D3"/>
    <mergeCell ref="C4:D4"/>
    <mergeCell ref="B5:G5"/>
    <mergeCell ref="AK4:AQ4"/>
    <mergeCell ref="AR4:AX4"/>
    <mergeCell ref="AY4:BE4"/>
    <mergeCell ref="BF4:BL4"/>
    <mergeCell ref="E3:F3"/>
    <mergeCell ref="I4:O4"/>
    <mergeCell ref="P4:V4"/>
    <mergeCell ref="W4:AC4"/>
    <mergeCell ref="AD4:AJ4"/>
  </mergeCells>
  <phoneticPr fontId="14" type="noConversion"/>
  <conditionalFormatting sqref="B6:AC6 AE6:BM6">
    <cfRule type="dataBar" priority="36">
      <dataBar>
        <cfvo type="min"/>
        <cfvo type="max"/>
        <color theme="1" tint="0.34998626667073579"/>
      </dataBar>
      <extLst>
        <ext xmlns:x14="http://schemas.microsoft.com/office/spreadsheetml/2009/9/main" uri="{B025F937-C7B1-47D3-B67F-A62EFF666E3E}">
          <x14:id>{723DDFD5-3A8C-AB49-9E6C-D55F119BC894}</x14:id>
        </ext>
      </extLst>
    </cfRule>
  </conditionalFormatting>
  <conditionalFormatting sqref="D7:D18 D27 D22:D25">
    <cfRule type="dataBar" priority="5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D9:D12">
    <cfRule type="dataBar" priority="41">
      <dataBar>
        <cfvo type="min"/>
        <cfvo type="max"/>
        <color theme="4" tint="0.59999389629810485"/>
      </dataBar>
      <extLst>
        <ext xmlns:x14="http://schemas.microsoft.com/office/spreadsheetml/2009/9/main" uri="{B025F937-C7B1-47D3-B67F-A62EFF666E3E}">
          <x14:id>{A8720EAE-E5A5-D54F-943E-6A7D8D421824}</x14:id>
        </ext>
      </extLst>
    </cfRule>
    <cfRule type="dataBar" priority="42">
      <dataBar>
        <cfvo type="min"/>
        <cfvo type="max"/>
        <color rgb="FF638EC6"/>
      </dataBar>
      <extLst>
        <ext xmlns:x14="http://schemas.microsoft.com/office/spreadsheetml/2009/9/main" uri="{B025F937-C7B1-47D3-B67F-A62EFF666E3E}">
          <x14:id>{CEFA1C9D-09E0-424C-A6C3-5A97C0AB83C3}</x14:id>
        </ext>
      </extLst>
    </cfRule>
  </conditionalFormatting>
  <conditionalFormatting sqref="D14:D18">
    <cfRule type="dataBar" priority="40">
      <dataBar>
        <cfvo type="min"/>
        <cfvo type="max"/>
        <color theme="5" tint="0.39997558519241921"/>
      </dataBar>
      <extLst>
        <ext xmlns:x14="http://schemas.microsoft.com/office/spreadsheetml/2009/9/main" uri="{B025F937-C7B1-47D3-B67F-A62EFF666E3E}">
          <x14:id>{CE2A9E2D-B093-A747-A851-20B71E5C4BD5}</x14:id>
        </ext>
      </extLst>
    </cfRule>
  </conditionalFormatting>
  <conditionalFormatting sqref="D23:D25">
    <cfRule type="dataBar" priority="38">
      <dataBar>
        <cfvo type="min"/>
        <cfvo type="max"/>
        <color theme="6" tint="0.39997558519241921"/>
      </dataBar>
      <extLst>
        <ext xmlns:x14="http://schemas.microsoft.com/office/spreadsheetml/2009/9/main" uri="{B025F937-C7B1-47D3-B67F-A62EFF666E3E}">
          <x14:id>{8CB7E077-2581-894F-8942-6F5AB75E87CA}</x14:id>
        </ext>
      </extLst>
    </cfRule>
    <cfRule type="dataBar" priority="39">
      <dataBar>
        <cfvo type="min"/>
        <cfvo type="max"/>
        <color rgb="FF92D050"/>
      </dataBar>
      <extLst>
        <ext xmlns:x14="http://schemas.microsoft.com/office/spreadsheetml/2009/9/main" uri="{B025F937-C7B1-47D3-B67F-A62EFF666E3E}">
          <x14:id>{FDA1A32B-F2A3-7048-BF60-036D0FCE6D99}</x14:id>
        </ext>
      </extLst>
    </cfRule>
  </conditionalFormatting>
  <conditionalFormatting sqref="I7:AC18 AL7:BL25 I19:AB19 AO26:BL26 AE7:AJ26 I20:AC26 AG27">
    <cfRule type="expression" dxfId="27" priority="73" stopIfTrue="1">
      <formula>AND(task_end&gt;=I$5,task_start&lt;J$5)</formula>
    </cfRule>
  </conditionalFormatting>
  <conditionalFormatting sqref="I7:AC18 AL7:BL25 I19:AB19 AO26:BL26">
    <cfRule type="expression" dxfId="26" priority="72">
      <formula>AND(task_start&lt;=I$5,ROUNDDOWN((task_end-task_start+1)*task_progress,0)+task_start-1&gt;=I$5)</formula>
    </cfRule>
  </conditionalFormatting>
  <conditionalFormatting sqref="I20:AC26 AO26:BL26 AE26:AK26 AE8:BL18 AE20:BL25 I19:BL19 I8:AC18 AG27">
    <cfRule type="dataBar" priority="35">
      <dataBar>
        <cfvo type="min"/>
        <cfvo type="max"/>
        <color rgb="FF008AEF"/>
      </dataBar>
      <extLst>
        <ext xmlns:x14="http://schemas.microsoft.com/office/spreadsheetml/2009/9/main" uri="{B025F937-C7B1-47D3-B67F-A62EFF666E3E}">
          <x14:id>{A399574C-B89F-A243-B083-C7723C8670DE}</x14:id>
        </ext>
      </extLst>
    </cfRule>
  </conditionalFormatting>
  <conditionalFormatting sqref="I27:AC27 AL27:BL27 AE27:AJ27">
    <cfRule type="expression" dxfId="25" priority="33" stopIfTrue="1">
      <formula>AND(task_end&gt;=I$5,task_start&lt;J$5)</formula>
    </cfRule>
  </conditionalFormatting>
  <conditionalFormatting sqref="I27:AC27 AE27:BL27">
    <cfRule type="dataBar" priority="30">
      <dataBar>
        <cfvo type="min"/>
        <cfvo type="max"/>
        <color rgb="FF008AEF"/>
      </dataBar>
      <extLst>
        <ext xmlns:x14="http://schemas.microsoft.com/office/spreadsheetml/2009/9/main" uri="{B025F937-C7B1-47D3-B67F-A62EFF666E3E}">
          <x14:id>{57F69D4B-D14B-B74F-8677-9ED9207D61DE}</x14:id>
        </ext>
      </extLst>
    </cfRule>
  </conditionalFormatting>
  <conditionalFormatting sqref="K20:AC26 AO26:AZ26 AE26:AK26 AE8:AZ18 AE20:AZ25 K19:AZ19 K8:AC18 AG27">
    <cfRule type="dataBar" priority="43">
      <dataBar>
        <cfvo type="min"/>
        <cfvo type="max"/>
        <color rgb="FF638EC6"/>
      </dataBar>
      <extLst>
        <ext xmlns:x14="http://schemas.microsoft.com/office/spreadsheetml/2009/9/main" uri="{B025F937-C7B1-47D3-B67F-A62EFF666E3E}">
          <x14:id>{3D619B00-9FC8-E642-BC70-D54AB240667C}</x14:id>
        </ext>
      </extLst>
    </cfRule>
  </conditionalFormatting>
  <conditionalFormatting sqref="K27:AC27 AE27:AZ27">
    <cfRule type="dataBar" priority="31">
      <dataBar>
        <cfvo type="min"/>
        <cfvo type="max"/>
        <color rgb="FF638EC6"/>
      </dataBar>
      <extLst>
        <ext xmlns:x14="http://schemas.microsoft.com/office/spreadsheetml/2009/9/main" uri="{B025F937-C7B1-47D3-B67F-A62EFF666E3E}">
          <x14:id>{0E5582E6-4278-1B43-ADAC-C5E5FFAE0C81}</x14:id>
        </ext>
      </extLst>
    </cfRule>
  </conditionalFormatting>
  <conditionalFormatting sqref="L9:N9">
    <cfRule type="dataBar" priority="37">
      <dataBar>
        <cfvo type="min"/>
        <cfvo type="max"/>
        <color rgb="FF638EC6"/>
      </dataBar>
      <extLst>
        <ext xmlns:x14="http://schemas.microsoft.com/office/spreadsheetml/2009/9/main" uri="{B025F937-C7B1-47D3-B67F-A62EFF666E3E}">
          <x14:id>{4AABB784-E743-1440-8FA5-448D1C9ADE74}</x14:id>
        </ext>
      </extLst>
    </cfRule>
  </conditionalFormatting>
  <conditionalFormatting sqref="AC19">
    <cfRule type="expression" dxfId="24" priority="92">
      <formula>AND(TODAY()&gt;=AF$5,TODAY()&lt;AG$5)</formula>
    </cfRule>
    <cfRule type="expression" dxfId="23" priority="96">
      <formula>AND(task_start&lt;=AF$5,ROUNDDOWN((task_end-task_start+1)*task_progress,0)+task_start-1&gt;=AF$5)</formula>
    </cfRule>
    <cfRule type="expression" dxfId="22" priority="97" stopIfTrue="1">
      <formula>AND(task_end&gt;=AF$5,task_start&lt;AG$5)</formula>
    </cfRule>
  </conditionalFormatting>
  <conditionalFormatting sqref="AD18">
    <cfRule type="dataBar" priority="6">
      <dataBar>
        <cfvo type="min"/>
        <cfvo type="max"/>
        <color rgb="FF008AEF"/>
      </dataBar>
      <extLst>
        <ext xmlns:x14="http://schemas.microsoft.com/office/spreadsheetml/2009/9/main" uri="{B025F937-C7B1-47D3-B67F-A62EFF666E3E}">
          <x14:id>{BACB87F5-A7C1-B44A-AB0D-397D9A6F3217}</x14:id>
        </ext>
      </extLst>
    </cfRule>
    <cfRule type="dataBar" priority="7">
      <dataBar>
        <cfvo type="min"/>
        <cfvo type="max"/>
        <color rgb="FF638EC6"/>
      </dataBar>
      <extLst>
        <ext xmlns:x14="http://schemas.microsoft.com/office/spreadsheetml/2009/9/main" uri="{B025F937-C7B1-47D3-B67F-A62EFF666E3E}">
          <x14:id>{F31FC333-D793-1A41-8227-FBE12EFE6FA0}</x14:id>
        </ext>
      </extLst>
    </cfRule>
    <cfRule type="expression" dxfId="21" priority="8">
      <formula>AND(task_start&lt;=AD$5,ROUNDDOWN((task_end-task_start+1)*task_progress,0)+task_start-1&gt;=AD$5)</formula>
    </cfRule>
    <cfRule type="expression" dxfId="20" priority="9" stopIfTrue="1">
      <formula>AND(task_end&gt;=AD$5,task_start&lt;AE$5)</formula>
    </cfRule>
    <cfRule type="expression" dxfId="19" priority="10">
      <formula>AND(TODAY()&gt;=AD$5,TODAY()&lt;AE$5)</formula>
    </cfRule>
  </conditionalFormatting>
  <conditionalFormatting sqref="AD19">
    <cfRule type="expression" dxfId="18" priority="86">
      <formula>AND(TODAY()&gt;=AC$5,TODAY()&lt;AD$5)</formula>
    </cfRule>
    <cfRule type="expression" dxfId="17" priority="89">
      <formula>AND(task_start&lt;=AC$5,ROUNDDOWN((task_end-task_start+1)*task_progress,0)+task_start-1&gt;=AC$5)</formula>
    </cfRule>
    <cfRule type="expression" dxfId="16" priority="90" stopIfTrue="1">
      <formula>AND(task_end&gt;=AC$5,task_start&lt;AD$5)</formula>
    </cfRule>
  </conditionalFormatting>
  <conditionalFormatting sqref="AD20">
    <cfRule type="dataBar" priority="1">
      <dataBar>
        <cfvo type="min"/>
        <cfvo type="max"/>
        <color rgb="FF008AEF"/>
      </dataBar>
      <extLst>
        <ext xmlns:x14="http://schemas.microsoft.com/office/spreadsheetml/2009/9/main" uri="{B025F937-C7B1-47D3-B67F-A62EFF666E3E}">
          <x14:id>{B5C353B2-D453-B14D-8551-B12D799D8DB6}</x14:id>
        </ext>
      </extLst>
    </cfRule>
    <cfRule type="dataBar" priority="2">
      <dataBar>
        <cfvo type="min"/>
        <cfvo type="max"/>
        <color rgb="FF638EC6"/>
      </dataBar>
      <extLst>
        <ext xmlns:x14="http://schemas.microsoft.com/office/spreadsheetml/2009/9/main" uri="{B025F937-C7B1-47D3-B67F-A62EFF666E3E}">
          <x14:id>{3678E878-7AF9-AF4F-A964-3BC0248E61DD}</x14:id>
        </ext>
      </extLst>
    </cfRule>
    <cfRule type="expression" dxfId="15" priority="3">
      <formula>AND(task_start&lt;=AD$5,ROUNDDOWN((task_end-task_start+1)*task_progress,0)+task_start-1&gt;=AD$5)</formula>
    </cfRule>
    <cfRule type="expression" dxfId="14" priority="4" stopIfTrue="1">
      <formula>AND(task_end&gt;=AD$5,task_start&lt;AE$5)</formula>
    </cfRule>
    <cfRule type="expression" dxfId="13" priority="5">
      <formula>AND(TODAY()&gt;=AD$5,TODAY()&lt;AE$5)</formula>
    </cfRule>
  </conditionalFormatting>
  <conditionalFormatting sqref="I20:AC27 AL27:BL27 AE7:AJ27">
    <cfRule type="expression" dxfId="12" priority="32">
      <formula>AND(task_start&lt;=I$5,ROUNDDOWN((task_end-task_start+1)*task_progress,0)+task_start-1&gt;=I$5)</formula>
    </cfRule>
  </conditionalFormatting>
  <conditionalFormatting sqref="AK22">
    <cfRule type="expression" dxfId="11" priority="80">
      <formula>AND(TODAY()&gt;=AJ$5,TODAY()&lt;AK$5)</formula>
    </cfRule>
    <cfRule type="expression" dxfId="10" priority="83">
      <formula>AND(task_start&lt;=AJ$5,ROUNDDOWN((task_end-task_start+1)*task_progress,0)+task_start-1&gt;=AJ$5)</formula>
    </cfRule>
    <cfRule type="expression" dxfId="9" priority="84" stopIfTrue="1">
      <formula>AND(task_end&gt;=AJ$5,task_start&lt;AK$5)</formula>
    </cfRule>
  </conditionalFormatting>
  <conditionalFormatting sqref="AK23">
    <cfRule type="expression" dxfId="8" priority="27">
      <formula>AND(task_start&lt;=AK$5,ROUNDDOWN((task_end-task_start+1)*task_progress,0)+task_start-1&gt;=AK$5)</formula>
    </cfRule>
    <cfRule type="expression" dxfId="7" priority="28" stopIfTrue="1">
      <formula>AND(task_end&gt;=AK$5,task_start&lt;AL$5)</formula>
    </cfRule>
    <cfRule type="expression" dxfId="6" priority="29">
      <formula>AND(TODAY()&gt;=AK$5,TODAY()&lt;AL$5)</formula>
    </cfRule>
  </conditionalFormatting>
  <conditionalFormatting sqref="AK25">
    <cfRule type="expression" dxfId="5" priority="24">
      <formula>AND(task_start&lt;=AK$5,ROUNDDOWN((task_end-task_start+1)*task_progress,0)+task_start-1&gt;=AK$5)</formula>
    </cfRule>
    <cfRule type="expression" dxfId="4" priority="25" stopIfTrue="1">
      <formula>AND(task_end&gt;=AK$5,task_start&lt;AL$5)</formula>
    </cfRule>
    <cfRule type="expression" dxfId="3" priority="26">
      <formula>AND(TODAY()&gt;=AK$5,TODAY()&lt;AL$5)</formula>
    </cfRule>
  </conditionalFormatting>
  <conditionalFormatting sqref="AM26">
    <cfRule type="dataBar" priority="11">
      <dataBar>
        <cfvo type="min"/>
        <cfvo type="max"/>
        <color rgb="FF008AEF"/>
      </dataBar>
      <extLst>
        <ext xmlns:x14="http://schemas.microsoft.com/office/spreadsheetml/2009/9/main" uri="{B025F937-C7B1-47D3-B67F-A62EFF666E3E}">
          <x14:id>{066F9365-1D05-DA47-B817-52F704C8582E}</x14:id>
        </ext>
      </extLst>
    </cfRule>
    <cfRule type="dataBar" priority="12">
      <dataBar>
        <cfvo type="min"/>
        <cfvo type="max"/>
        <color rgb="FF638EC6"/>
      </dataBar>
      <extLst>
        <ext xmlns:x14="http://schemas.microsoft.com/office/spreadsheetml/2009/9/main" uri="{B025F937-C7B1-47D3-B67F-A62EFF666E3E}">
          <x14:id>{3CB2727D-7C6E-9C48-8DED-9C3A819E9B71}</x14:id>
        </ext>
      </extLst>
    </cfRule>
    <cfRule type="expression" dxfId="2" priority="13">
      <formula>AND(task_start&lt;=AM$5,ROUNDDOWN((task_end-task_start+1)*task_progress,0)+task_start-1&gt;=AM$5)</formula>
    </cfRule>
    <cfRule type="expression" dxfId="1" priority="14" stopIfTrue="1">
      <formula>AND(task_end&gt;=AM$5,task_start&lt;AN$5)</formula>
    </cfRule>
    <cfRule type="expression" dxfId="0" priority="15">
      <formula>AND(TODAY()&gt;=AM$5,TODAY()&lt;AN$5)</formula>
    </cfRule>
  </conditionalFormatting>
  <conditionalFormatting sqref="BO13">
    <cfRule type="dataBar" priority="45">
      <dataBar>
        <cfvo type="min"/>
        <cfvo type="max"/>
        <color rgb="FF638EC6"/>
      </dataBar>
      <extLst>
        <ext xmlns:x14="http://schemas.microsoft.com/office/spreadsheetml/2009/9/main" uri="{B025F937-C7B1-47D3-B67F-A62EFF666E3E}">
          <x14:id>{167AB0A8-E9FC-604C-908A-30F5A0FE0012}</x14:id>
        </ext>
      </extLst>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47" orientation="landscape" r:id="rId1"/>
  <headerFooter differentFirst="1" scaleWithDoc="0">
    <oddFooter>Page &amp;P of &amp;N</oddFooter>
  </headerFooter>
  <ignoredErrors>
    <ignoredError sqref="E11:E12 E19 F15" formula="1"/>
  </ignoredErrors>
  <extLst>
    <ext xmlns:x14="http://schemas.microsoft.com/office/spreadsheetml/2009/9/main" uri="{78C0D931-6437-407d-A8EE-F0AAD7539E65}">
      <x14:conditionalFormattings>
        <x14:conditionalFormatting xmlns:xm="http://schemas.microsoft.com/office/excel/2006/main">
          <x14:cfRule type="dataBar" id="{723DDFD5-3A8C-AB49-9E6C-D55F119BC894}">
            <x14:dataBar minLength="0" maxLength="100" gradient="0">
              <x14:cfvo type="autoMin"/>
              <x14:cfvo type="autoMax"/>
              <x14:negativeFillColor rgb="FFFF0000"/>
              <x14:axisColor rgb="FF000000"/>
            </x14:dataBar>
          </x14:cfRule>
          <xm:sqref>B6:AC6 AE6:BM6</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D7:D18 D27 D22:D25</xm:sqref>
        </x14:conditionalFormatting>
        <x14:conditionalFormatting xmlns:xm="http://schemas.microsoft.com/office/excel/2006/main">
          <x14:cfRule type="dataBar" id="{A8720EAE-E5A5-D54F-943E-6A7D8D421824}">
            <x14:dataBar minLength="0" maxLength="100" gradient="0">
              <x14:cfvo type="autoMin"/>
              <x14:cfvo type="autoMax"/>
              <x14:negativeFillColor rgb="FFFF0000"/>
              <x14:axisColor rgb="FF000000"/>
            </x14:dataBar>
          </x14:cfRule>
          <x14:cfRule type="dataBar" id="{CEFA1C9D-09E0-424C-A6C3-5A97C0AB83C3}">
            <x14:dataBar minLength="0" maxLength="100" gradient="0">
              <x14:cfvo type="autoMin"/>
              <x14:cfvo type="autoMax"/>
              <x14:negativeFillColor rgb="FFFF0000"/>
              <x14:axisColor rgb="FF000000"/>
            </x14:dataBar>
          </x14:cfRule>
          <xm:sqref>D9:D12</xm:sqref>
        </x14:conditionalFormatting>
        <x14:conditionalFormatting xmlns:xm="http://schemas.microsoft.com/office/excel/2006/main">
          <x14:cfRule type="dataBar" id="{CE2A9E2D-B093-A747-A851-20B71E5C4BD5}">
            <x14:dataBar minLength="0" maxLength="100" gradient="0">
              <x14:cfvo type="autoMin"/>
              <x14:cfvo type="autoMax"/>
              <x14:negativeFillColor rgb="FFFF0000"/>
              <x14:axisColor rgb="FF000000"/>
            </x14:dataBar>
          </x14:cfRule>
          <xm:sqref>D14:D18</xm:sqref>
        </x14:conditionalFormatting>
        <x14:conditionalFormatting xmlns:xm="http://schemas.microsoft.com/office/excel/2006/main">
          <x14:cfRule type="dataBar" id="{8CB7E077-2581-894F-8942-6F5AB75E87CA}">
            <x14:dataBar minLength="0" maxLength="100" gradient="0">
              <x14:cfvo type="autoMin"/>
              <x14:cfvo type="autoMax"/>
              <x14:negativeFillColor rgb="FFFF0000"/>
              <x14:axisColor rgb="FF000000"/>
            </x14:dataBar>
          </x14:cfRule>
          <x14:cfRule type="dataBar" id="{FDA1A32B-F2A3-7048-BF60-036D0FCE6D99}">
            <x14:dataBar minLength="0" maxLength="100" gradient="0">
              <x14:cfvo type="autoMin"/>
              <x14:cfvo type="autoMax"/>
              <x14:negativeFillColor rgb="FFFF0000"/>
              <x14:axisColor rgb="FF000000"/>
            </x14:dataBar>
          </x14:cfRule>
          <xm:sqref>D23:D25</xm:sqref>
        </x14:conditionalFormatting>
        <x14:conditionalFormatting xmlns:xm="http://schemas.microsoft.com/office/excel/2006/main">
          <x14:cfRule type="dataBar" id="{A399574C-B89F-A243-B083-C7723C8670DE}">
            <x14:dataBar minLength="0" maxLength="100" gradient="0">
              <x14:cfvo type="autoMin"/>
              <x14:cfvo type="autoMax"/>
              <x14:negativeFillColor rgb="FFFF0000"/>
              <x14:axisColor rgb="FF000000"/>
            </x14:dataBar>
          </x14:cfRule>
          <xm:sqref>I20:AC26 AO26:BL26 AE26:AK26 AE8:BL18 AE20:BL25 I19:BL19 I8:AC18 AG27</xm:sqref>
        </x14:conditionalFormatting>
        <x14:conditionalFormatting xmlns:xm="http://schemas.microsoft.com/office/excel/2006/main">
          <x14:cfRule type="dataBar" id="{57F69D4B-D14B-B74F-8677-9ED9207D61DE}">
            <x14:dataBar minLength="0" maxLength="100" gradient="0">
              <x14:cfvo type="autoMin"/>
              <x14:cfvo type="autoMax"/>
              <x14:negativeFillColor rgb="FFFF0000"/>
              <x14:axisColor rgb="FF000000"/>
            </x14:dataBar>
          </x14:cfRule>
          <xm:sqref>I27:AC27 AE27:BL27</xm:sqref>
        </x14:conditionalFormatting>
        <x14:conditionalFormatting xmlns:xm="http://schemas.microsoft.com/office/excel/2006/main">
          <x14:cfRule type="dataBar" id="{3D619B00-9FC8-E642-BC70-D54AB240667C}">
            <x14:dataBar minLength="0" maxLength="100" gradient="0">
              <x14:cfvo type="autoMin"/>
              <x14:cfvo type="autoMax"/>
              <x14:negativeFillColor rgb="FFFF0000"/>
              <x14:axisColor rgb="FF000000"/>
            </x14:dataBar>
          </x14:cfRule>
          <xm:sqref>K20:AC26 AO26:AZ26 AE26:AK26 AE8:AZ18 AE20:AZ25 K19:AZ19 K8:AC18 AG27</xm:sqref>
        </x14:conditionalFormatting>
        <x14:conditionalFormatting xmlns:xm="http://schemas.microsoft.com/office/excel/2006/main">
          <x14:cfRule type="dataBar" id="{0E5582E6-4278-1B43-ADAC-C5E5FFAE0C81}">
            <x14:dataBar minLength="0" maxLength="100" gradient="0">
              <x14:cfvo type="autoMin"/>
              <x14:cfvo type="autoMax"/>
              <x14:negativeFillColor rgb="FFFF0000"/>
              <x14:axisColor rgb="FF000000"/>
            </x14:dataBar>
          </x14:cfRule>
          <xm:sqref>K27:AC27 AE27:AZ27</xm:sqref>
        </x14:conditionalFormatting>
        <x14:conditionalFormatting xmlns:xm="http://schemas.microsoft.com/office/excel/2006/main">
          <x14:cfRule type="dataBar" id="{4AABB784-E743-1440-8FA5-448D1C9ADE74}">
            <x14:dataBar minLength="0" maxLength="100" gradient="0">
              <x14:cfvo type="autoMin"/>
              <x14:cfvo type="autoMax"/>
              <x14:negativeFillColor rgb="FFFF0000"/>
              <x14:axisColor rgb="FF000000"/>
            </x14:dataBar>
          </x14:cfRule>
          <xm:sqref>L9:N9</xm:sqref>
        </x14:conditionalFormatting>
        <x14:conditionalFormatting xmlns:xm="http://schemas.microsoft.com/office/excel/2006/main">
          <x14:cfRule type="dataBar" id="{BACB87F5-A7C1-B44A-AB0D-397D9A6F3217}">
            <x14:dataBar minLength="0" maxLength="100" gradient="0">
              <x14:cfvo type="autoMin"/>
              <x14:cfvo type="autoMax"/>
              <x14:negativeFillColor rgb="FFFF0000"/>
              <x14:axisColor rgb="FF000000"/>
            </x14:dataBar>
          </x14:cfRule>
          <x14:cfRule type="dataBar" id="{F31FC333-D793-1A41-8227-FBE12EFE6FA0}">
            <x14:dataBar minLength="0" maxLength="100" gradient="0">
              <x14:cfvo type="autoMin"/>
              <x14:cfvo type="autoMax"/>
              <x14:negativeFillColor rgb="FFFF0000"/>
              <x14:axisColor rgb="FF000000"/>
            </x14:dataBar>
          </x14:cfRule>
          <xm:sqref>AD18</xm:sqref>
        </x14:conditionalFormatting>
        <x14:conditionalFormatting xmlns:xm="http://schemas.microsoft.com/office/excel/2006/main">
          <x14:cfRule type="dataBar" id="{B5C353B2-D453-B14D-8551-B12D799D8DB6}">
            <x14:dataBar minLength="0" maxLength="100" gradient="0">
              <x14:cfvo type="autoMin"/>
              <x14:cfvo type="autoMax"/>
              <x14:negativeFillColor rgb="FFFF0000"/>
              <x14:axisColor rgb="FF000000"/>
            </x14:dataBar>
          </x14:cfRule>
          <x14:cfRule type="dataBar" id="{3678E878-7AF9-AF4F-A964-3BC0248E61DD}">
            <x14:dataBar minLength="0" maxLength="100" gradient="0">
              <x14:cfvo type="autoMin"/>
              <x14:cfvo type="autoMax"/>
              <x14:negativeFillColor rgb="FFFF0000"/>
              <x14:axisColor rgb="FF000000"/>
            </x14:dataBar>
          </x14:cfRule>
          <xm:sqref>AD20</xm:sqref>
        </x14:conditionalFormatting>
        <x14:conditionalFormatting xmlns:xm="http://schemas.microsoft.com/office/excel/2006/main">
          <x14:cfRule type="dataBar" id="{066F9365-1D05-DA47-B817-52F704C8582E}">
            <x14:dataBar minLength="0" maxLength="100" gradient="0">
              <x14:cfvo type="autoMin"/>
              <x14:cfvo type="autoMax"/>
              <x14:negativeFillColor rgb="FFFF0000"/>
              <x14:axisColor rgb="FF000000"/>
            </x14:dataBar>
          </x14:cfRule>
          <x14:cfRule type="dataBar" id="{3CB2727D-7C6E-9C48-8DED-9C3A819E9B71}">
            <x14:dataBar minLength="0" maxLength="100" gradient="0">
              <x14:cfvo type="autoMin"/>
              <x14:cfvo type="autoMax"/>
              <x14:negativeFillColor rgb="FFFF0000"/>
              <x14:axisColor rgb="FF000000"/>
            </x14:dataBar>
          </x14:cfRule>
          <xm:sqref>AM26</xm:sqref>
        </x14:conditionalFormatting>
        <x14:conditionalFormatting xmlns:xm="http://schemas.microsoft.com/office/excel/2006/main">
          <x14:cfRule type="dataBar" id="{167AB0A8-E9FC-604C-908A-30F5A0FE0012}">
            <x14:dataBar minLength="0" maxLength="100" border="1" negativeBarBorderColorSameAsPositive="0">
              <x14:cfvo type="autoMin"/>
              <x14:cfvo type="autoMax"/>
              <x14:borderColor rgb="FF638EC6"/>
              <x14:negativeFillColor rgb="FFFF0000"/>
              <x14:negativeBorderColor rgb="FFFF0000"/>
              <x14:axisColor rgb="FF000000"/>
            </x14:dataBar>
          </x14:cfRule>
          <xm:sqref>BO13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2" x14ac:dyDescent="0.15"/>
  <cols>
    <col min="1" max="1" width="87.109375" style="2" customWidth="1"/>
    <col min="2" max="16384" width="9.109375" style="1"/>
  </cols>
  <sheetData>
    <row r="1" spans="1:2" ht="46.5" customHeight="1" x14ac:dyDescent="0.15"/>
    <row r="2" spans="1:2" s="4" customFormat="1" ht="15.6" x14ac:dyDescent="0.25">
      <c r="A2" s="3" t="s">
        <v>20</v>
      </c>
      <c r="B2" s="3"/>
    </row>
    <row r="3" spans="1:2" s="8" customFormat="1" ht="27" customHeight="1" x14ac:dyDescent="0.25">
      <c r="A3" s="9" t="s">
        <v>21</v>
      </c>
      <c r="B3" s="9"/>
    </row>
    <row r="4" spans="1:2" s="5" customFormat="1" ht="25.8" x14ac:dyDescent="0.4">
      <c r="A4" s="6" t="s">
        <v>22</v>
      </c>
    </row>
    <row r="5" spans="1:2" ht="74.25" customHeight="1" x14ac:dyDescent="0.15">
      <c r="A5" s="7" t="s">
        <v>23</v>
      </c>
    </row>
    <row r="6" spans="1:2" ht="26.25" customHeight="1" x14ac:dyDescent="0.15">
      <c r="A6" s="6" t="s">
        <v>24</v>
      </c>
    </row>
    <row r="7" spans="1:2" s="2" customFormat="1" ht="205.05" customHeight="1" x14ac:dyDescent="0.25">
      <c r="A7" s="11" t="s">
        <v>25</v>
      </c>
    </row>
    <row r="8" spans="1:2" s="5" customFormat="1" ht="25.8" x14ac:dyDescent="0.4">
      <c r="A8" s="6" t="s">
        <v>26</v>
      </c>
    </row>
    <row r="9" spans="1:2" ht="57.6" x14ac:dyDescent="0.15">
      <c r="A9" s="7" t="s">
        <v>27</v>
      </c>
    </row>
    <row r="10" spans="1:2" s="2" customFormat="1" ht="28.05" customHeight="1" x14ac:dyDescent="0.25">
      <c r="A10" s="10" t="s">
        <v>28</v>
      </c>
    </row>
    <row r="11" spans="1:2" s="5" customFormat="1" ht="25.8" x14ac:dyDescent="0.4">
      <c r="A11" s="6" t="s">
        <v>29</v>
      </c>
    </row>
    <row r="12" spans="1:2" ht="28.8" x14ac:dyDescent="0.15">
      <c r="A12" s="7" t="s">
        <v>30</v>
      </c>
    </row>
    <row r="13" spans="1:2" s="2" customFormat="1" ht="28.05" customHeight="1" x14ac:dyDescent="0.25">
      <c r="A13" s="10" t="s">
        <v>31</v>
      </c>
    </row>
    <row r="14" spans="1:2" s="5" customFormat="1" ht="25.8" x14ac:dyDescent="0.4">
      <c r="A14" s="6" t="s">
        <v>32</v>
      </c>
    </row>
    <row r="15" spans="1:2" ht="75" customHeight="1" x14ac:dyDescent="0.15">
      <c r="A15" s="7" t="s">
        <v>33</v>
      </c>
    </row>
    <row r="16" spans="1:2" ht="86.4" x14ac:dyDescent="0.15">
      <c r="A16" s="7" t="s">
        <v>34</v>
      </c>
    </row>
  </sheetData>
  <phoneticPr fontId="14" type="noConversion"/>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2025-12-11T12:56:28Z</dcterms:modified>
  <cp:category/>
  <cp:contentStatus/>
</cp:coreProperties>
</file>